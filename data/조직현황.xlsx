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직원" sheetId="2" r:id="rId2"/>
    <sheet name="인원현황" sheetId="3" r:id="rId3"/>
    <sheet name="조직도" sheetId="4" r:id="rId4"/>
    <sheet name="운영위원회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s="1" t="str">
        <v>북원노인종합복지관 · 조직현황 페이지 관리표</v>
      </c>
    </row>
    <row r="2">
      <c r="A2" s="1" t="str">
        <v>이 파일은 "홈페이지 편집기"(조직현황)로 편집하는 것을 권장합니다.</v>
      </c>
    </row>
    <row r="4">
      <c r="A4" s="1" t="str">
        <v>■ 이 파일 하나로 조직현황 페이지(조직도·인원표·직원·운영위원회)가 모두 바뀝니다.</v>
      </c>
    </row>
    <row r="5">
      <c r="A5" s="1" t="str">
        <v>1. 직원이 들어오면 → [직원] 시트에 한 줄 추가 (팀·이름·직책·인원구분·주요업무)</v>
      </c>
    </row>
    <row r="6">
      <c r="A6" s="1" t="str">
        <v>2. 직원이 나가면 → 줄 삭제, 휴직 등으로 잠시 숨길 땐 게시 X</v>
      </c>
    </row>
    <row r="7">
      <c r="A7" s="1" t="str">
        <v>3. 인원표는 직접 세지 않습니다. 인원구분 칸만 맞게 고르면 자동 집계 ([인원현황] 점검 칸 = "정상")</v>
      </c>
    </row>
    <row r="8">
      <c r="A8" s="1" t="str">
        <v>4. 화면 순서 = 엑셀 줄 순서. 팀이 같은 줄은 붙여서 쓰세요</v>
      </c>
    </row>
    <row r="9">
      <c r="A9" s="1" t="str">
        <v>5. 이름은 붙여서 입력 (허민중). 화면에서 보기 좋게 띄워 줍니다</v>
      </c>
    </row>
    <row r="10">
      <c r="A10" s="1" t="str">
        <v>■ 주의</v>
      </c>
    </row>
    <row r="11">
      <c r="A11" s="1" t="str">
        <v>· 시트 이름·4행 머리글은 바꾸지 마세요 (홈페이지가 이 이름으로 읽습니다)</v>
      </c>
    </row>
    <row r="12">
      <c r="A12" s="1" t="str">
        <v>· 칸 합치기(병합)는 하지 마세요 — 같은 팀/비고는 화면에서 자동으로 합쳐집니다</v>
      </c>
    </row>
    <row r="13">
      <c r="A13" s="1" t="str">
        <v>· 회색 칸 = 자동 계산</v>
      </c>
    </row>
  </sheetData>
  <pageMargins left="0.75" right="0.75" top="1" bottom="1" header="0.511811023622047" footer="0.511811023622047"/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7.83203125" customWidth="1"/>
    <col min="2" max="2" width="16.83203125" customWidth="1"/>
    <col min="3" max="3" width="10.83203125" customWidth="1"/>
    <col min="4" max="4" width="16.83203125" customWidth="1"/>
    <col min="5" max="5" width="14.83203125" customWidth="1"/>
    <col min="6" max="6" width="70.83203125" customWidth="1"/>
    <col min="7" max="7" width="30.83203125" customWidth="1"/>
  </cols>
  <sheetData>
    <row r="1">
      <c r="A1" s="1" t="str">
        <v>직원 및 주요업무</v>
      </c>
    </row>
    <row r="2">
      <c r="A2" s="1" t="str">
        <v>한 줄 = 직원 1명. 위에서부터 나온 순서대로 화면에 나오고, 팀이 같은 줄은 자동으로 묶입니다. 게시 X = 숨김.</v>
      </c>
    </row>
    <row r="3">
      <c r="A3" s="1" t="str">
        <v/>
      </c>
    </row>
    <row r="4">
      <c r="A4" s="1" t="str">
        <v>게시</v>
      </c>
      <c r="B4" s="1" t="str">
        <v>팀</v>
      </c>
      <c r="C4" s="1" t="str">
        <v>이름</v>
      </c>
      <c r="D4" s="1" t="str">
        <v>직책</v>
      </c>
      <c r="E4" s="1" t="str">
        <v>인원구분</v>
      </c>
      <c r="F4" s="1" t="str">
        <v>주요업무</v>
      </c>
      <c r="G4" s="1" t="str">
        <v>비고</v>
      </c>
    </row>
    <row r="5">
      <c r="A5" s="1" t="str">
        <v>O</v>
      </c>
      <c r="B5" s="1" t="str">
        <v>법인</v>
      </c>
      <c r="C5" s="1" t="str">
        <v>허기복</v>
      </c>
      <c r="D5" s="1" t="str">
        <v>이사장</v>
      </c>
      <c r="E5" s="1" t="str">
        <v>이사장</v>
      </c>
      <c r="F5" s="1" t="str">
        <v>복지관 지도 및 총괄</v>
      </c>
      <c r="G5" s="1" t="str">
        <v/>
      </c>
    </row>
    <row r="6">
      <c r="A6" s="1" t="str">
        <v>O</v>
      </c>
      <c r="B6" s="1" t="str">
        <v>복지관</v>
      </c>
      <c r="C6" s="1" t="str">
        <v>허민중</v>
      </c>
      <c r="D6" s="1" t="str">
        <v>관장</v>
      </c>
      <c r="E6" s="1" t="str">
        <v>관장</v>
      </c>
      <c r="F6" s="1" t="str">
        <v>복지관 운영 총괄</v>
      </c>
      <c r="G6" s="1" t="str">
        <v/>
      </c>
    </row>
    <row r="7">
      <c r="A7" s="1" t="str">
        <v>O</v>
      </c>
      <c r="B7" s="1" t="str">
        <v>복지관</v>
      </c>
      <c r="C7" s="1" t="str">
        <v>강세진</v>
      </c>
      <c r="D7" s="1" t="str">
        <v>과장</v>
      </c>
      <c r="E7" s="1" t="str">
        <v>과장</v>
      </c>
      <c r="F7" s="1" t="str">
        <v>복지관 사업, 예산, 기획 등 실무 총괄</v>
      </c>
      <c r="G7" s="1" t="str">
        <v/>
      </c>
    </row>
    <row r="8">
      <c r="A8" s="1" t="str">
        <v>O</v>
      </c>
      <c r="B8" s="1" t="str">
        <v>운영지원팀</v>
      </c>
      <c r="C8" s="1" t="str">
        <v>정수연</v>
      </c>
      <c r="D8" s="1" t="str">
        <v>사무원(주임)</v>
      </c>
      <c r="E8" s="1" t="str">
        <v>주임</v>
      </c>
      <c r="F8" s="1" t="str">
        <v>예산, 재무회계, 사무 관련 업무</v>
      </c>
      <c r="G8" s="1" t="str">
        <v/>
      </c>
    </row>
    <row r="9">
      <c r="A9" s="1" t="str">
        <v>O</v>
      </c>
      <c r="B9" s="1" t="str">
        <v>운영지원팀</v>
      </c>
      <c r="C9" s="1" t="str">
        <v>오정범</v>
      </c>
      <c r="D9" s="1" t="str">
        <v>시설담당</v>
      </c>
      <c r="E9" s="1" t="str">
        <v>시설담당</v>
      </c>
      <c r="F9" s="1" t="str">
        <v>시설물 안전 점검, 내외부 환경관리, 비품관리 등</v>
      </c>
      <c r="G9" s="1" t="str">
        <v/>
      </c>
    </row>
    <row r="10">
      <c r="A10" s="1" t="str">
        <v>O</v>
      </c>
      <c r="B10" s="1" t="str">
        <v>운영지원팀</v>
      </c>
      <c r="C10" s="1" t="str">
        <v>김용근</v>
      </c>
      <c r="D10" s="1" t="str">
        <v>운전담당</v>
      </c>
      <c r="E10" s="1" t="str">
        <v>운전담당</v>
      </c>
      <c r="F10" s="1" t="str">
        <v>버스 운행 및 관리 등</v>
      </c>
      <c r="G10" s="1" t="str">
        <v/>
      </c>
    </row>
    <row r="11">
      <c r="A11" s="1" t="str">
        <v>O</v>
      </c>
      <c r="B11" s="1" t="str">
        <v>지역복지팀</v>
      </c>
      <c r="C11" s="1" t="str">
        <v>김준일</v>
      </c>
      <c r="D11" s="1" t="str">
        <v>주임</v>
      </c>
      <c r="E11" s="1" t="str">
        <v>주임</v>
      </c>
      <c r="F11" s="1" t="str">
        <v>자원봉사개발 및 관리, 노인권익증진, 선배시민봉사단, 우리방송국, 경로식당 관리 등</v>
      </c>
      <c r="G11" s="1" t="str">
        <v/>
      </c>
    </row>
    <row r="12">
      <c r="A12" s="1" t="str">
        <v>O</v>
      </c>
      <c r="B12" s="1" t="str">
        <v>지역복지팀</v>
      </c>
      <c r="C12" s="1" t="str">
        <v>백지현</v>
      </c>
      <c r="D12" s="1" t="str">
        <v>물리치료사</v>
      </c>
      <c r="E12" s="1" t="str">
        <v>물리치료사</v>
      </c>
      <c r="F12" s="1" t="str">
        <v>건강생활지원사업(물리치료 및 건강증진 등), 외부 건강 연계 사업 등</v>
      </c>
      <c r="G12" s="1" t="str">
        <v/>
      </c>
    </row>
    <row r="13">
      <c r="A13" s="1" t="str">
        <v>O</v>
      </c>
      <c r="B13" s="1" t="str">
        <v>복지사업팀</v>
      </c>
      <c r="C13" s="1" t="str">
        <v>임은식</v>
      </c>
      <c r="D13" s="1" t="str">
        <v>주임</v>
      </c>
      <c r="E13" s="1" t="str">
        <v>주임</v>
      </c>
      <c r="F13" s="1" t="str">
        <v>자원개발 및 연계, 이용자 자치모임, 홍보·출판사업, 노인일자리 및 사회활동지원사업 등</v>
      </c>
      <c r="G13" s="1" t="str">
        <v/>
      </c>
    </row>
    <row r="14">
      <c r="A14" s="1" t="str">
        <v>O</v>
      </c>
      <c r="B14" s="1" t="str">
        <v>복지사업팀</v>
      </c>
      <c r="C14" s="1" t="str">
        <v>반경미</v>
      </c>
      <c r="D14" s="1" t="str">
        <v>일자리담당</v>
      </c>
      <c r="E14" s="1" t="str">
        <v>일자리전담</v>
      </c>
      <c r="F14" s="1" t="str">
        <v>공익형-북부환경지킴이 실무 담당(태장2동)</v>
      </c>
      <c r="G14" s="1" t="str">
        <v/>
      </c>
    </row>
    <row r="15">
      <c r="A15" s="1" t="str">
        <v>O</v>
      </c>
      <c r="B15" s="1" t="str">
        <v>복지사업팀</v>
      </c>
      <c r="C15" s="1" t="str">
        <v>김은희</v>
      </c>
      <c r="D15" s="1" t="str">
        <v>일자리담당</v>
      </c>
      <c r="E15" s="1" t="str">
        <v>일자리전담</v>
      </c>
      <c r="F15" s="1" t="str">
        <v>공익형-북부환경지킴이 실무 담당(소초면)</v>
      </c>
      <c r="G15" s="1" t="str">
        <v/>
      </c>
    </row>
    <row r="16">
      <c r="A16" s="1" t="str">
        <v>O</v>
      </c>
      <c r="B16" s="1" t="str">
        <v>복지사업팀</v>
      </c>
      <c r="C16" s="1" t="str">
        <v>홍정아</v>
      </c>
      <c r="D16" s="1" t="str">
        <v>일자리담당</v>
      </c>
      <c r="E16" s="1" t="str">
        <v>일자리전담</v>
      </c>
      <c r="F16" s="1" t="str">
        <v>공익형-북부환경지킴이 실무 담당(소초면)</v>
      </c>
      <c r="G16" s="1" t="str">
        <v/>
      </c>
    </row>
    <row r="17">
      <c r="A17" s="1" t="str">
        <v>O</v>
      </c>
      <c r="B17" s="1" t="str">
        <v>복지사업팀</v>
      </c>
      <c r="C17" s="1" t="str">
        <v>윤경숙</v>
      </c>
      <c r="D17" s="1" t="str">
        <v>일자리담당</v>
      </c>
      <c r="E17" s="1" t="str">
        <v>일자리전담</v>
      </c>
      <c r="F17" s="1" t="str">
        <v>공익형-북부환경지킴이 실무 담당(태장1동)</v>
      </c>
      <c r="G17" s="1" t="str">
        <v/>
      </c>
    </row>
    <row r="18">
      <c r="A18" s="1" t="str">
        <v>O</v>
      </c>
      <c r="B18" s="1" t="str">
        <v>문화사업팀</v>
      </c>
      <c r="C18" s="1" t="str">
        <v>박희경</v>
      </c>
      <c r="D18" s="1" t="str">
        <v>주임</v>
      </c>
      <c r="E18" s="1" t="str">
        <v>주임</v>
      </c>
      <c r="F18" s="1" t="str">
        <v>육아휴직</v>
      </c>
      <c r="G18" s="1" t="str">
        <v/>
      </c>
    </row>
    <row r="19">
      <c r="A19" s="1" t="str">
        <v>O</v>
      </c>
      <c r="B19" s="1" t="str">
        <v>문화사업팀</v>
      </c>
      <c r="C19" s="1" t="str">
        <v>전혜연</v>
      </c>
      <c r="D19" s="1" t="str">
        <v>사회복지사</v>
      </c>
      <c r="E19" s="1" t="str">
        <v>사회복지사</v>
      </c>
      <c r="F19" s="1" t="str">
        <v>이용회원관리, 상담/사례관리, 기획행사, 동아리 지원, 북원보듬축제, 외부지원, 공모사업 등</v>
      </c>
      <c r="G19" s="1" t="str">
        <v/>
      </c>
    </row>
    <row r="20">
      <c r="A20" s="1" t="str">
        <v>O</v>
      </c>
      <c r="B20" s="1" t="str">
        <v>문화사업팀</v>
      </c>
      <c r="C20" s="1" t="str">
        <v>신유나</v>
      </c>
      <c r="D20" s="1" t="str">
        <v>사회복지사</v>
      </c>
      <c r="E20" s="1" t="str">
        <v>사회복지사</v>
      </c>
      <c r="F20" s="1" t="str">
        <v>노년사회화교육사업, 강사채용관리, 방학특강, 디지털 배움터 등</v>
      </c>
      <c r="G20" s="1" t="str">
        <v/>
      </c>
    </row>
    <row r="21">
      <c r="A21" s="1" t="str">
        <v>O</v>
      </c>
      <c r="B21" s="1" t="str">
        <v>문화사업팀</v>
      </c>
      <c r="C21" s="1" t="str">
        <v>이하율</v>
      </c>
      <c r="D21" s="1" t="str">
        <v>사회복지사</v>
      </c>
      <c r="E21" s="1" t="str">
        <v>사회복지사</v>
      </c>
      <c r="F21" s="1" t="str">
        <v>자율이용프로그램 관리, 치매예방, 재가도시락 등</v>
      </c>
      <c r="G21" s="1" t="str">
        <v/>
      </c>
    </row>
    <row r="22">
      <c r="A22" s="1" t="str">
        <v>O</v>
      </c>
      <c r="B22" s="1" t="str">
        <v>급식팀</v>
      </c>
      <c r="C22" s="1" t="str">
        <v>김순덕</v>
      </c>
      <c r="D22" s="1" t="str">
        <v>조리사</v>
      </c>
      <c r="E22" s="1" t="str">
        <v>조리사</v>
      </c>
      <c r="F22" s="1" t="str">
        <v>경로식당 운영, 식재료 발주, 검수, 위생관리 등</v>
      </c>
      <c r="G22" s="1" t="str">
        <v/>
      </c>
    </row>
    <row r="23">
      <c r="A23" s="1" t="str">
        <v>O</v>
      </c>
      <c r="B23" s="1" t="str">
        <v>급식팀</v>
      </c>
      <c r="C23" s="1" t="str">
        <v>김순용</v>
      </c>
      <c r="D23" s="1" t="str">
        <v>조리원</v>
      </c>
      <c r="E23" s="1" t="str">
        <v>조리원</v>
      </c>
      <c r="F23" s="1" t="str">
        <v>경로식당 조리업무 보조</v>
      </c>
      <c r="G23" s="1" t="str">
        <v/>
      </c>
    </row>
    <row r="24">
      <c r="A24" s="1" t="str">
        <v>O</v>
      </c>
      <c r="B24" s="1" t="str">
        <v>급식팀</v>
      </c>
      <c r="C24" s="1" t="str">
        <v>안미자</v>
      </c>
      <c r="D24" s="1" t="str">
        <v>조리원</v>
      </c>
      <c r="E24" s="1" t="str">
        <v>조리원</v>
      </c>
      <c r="F24" s="1" t="str">
        <v>경로식당 조리업무 보조</v>
      </c>
      <c r="G24" s="1" t="str">
        <v/>
      </c>
    </row>
    <row r="25">
      <c r="A25" s="1" t="str">
        <v>O</v>
      </c>
      <c r="B25" s="1" t="str">
        <v>병원동행서비스</v>
      </c>
      <c r="C25" s="1" t="str">
        <v>장은정</v>
      </c>
      <c r="D25" s="1" t="str">
        <v>전담사회복지사</v>
      </c>
      <c r="E25" s="1" t="str">
        <v>사회복지사</v>
      </c>
      <c r="F25" s="1" t="str">
        <v>병원동행서비스 전담</v>
      </c>
      <c r="G25" s="1" t="str">
        <v>인원표에서는 사회복지사로 셈</v>
      </c>
    </row>
    <row r="26">
      <c r="A26" s="1" t="str">
        <v>O</v>
      </c>
      <c r="B26" s="1" t="str">
        <v>병원동행서비스</v>
      </c>
      <c r="C26" s="1" t="str">
        <v>김재화</v>
      </c>
      <c r="D26" s="1" t="str">
        <v>동행매니저</v>
      </c>
      <c r="E26" s="1" t="str">
        <v>동행매니저</v>
      </c>
      <c r="F26" s="1" t="str">
        <v>어르신 병원 동행</v>
      </c>
      <c r="G26" s="1" t="str">
        <v/>
      </c>
    </row>
    <row r="27">
      <c r="A27" s="1" t="str">
        <v>O</v>
      </c>
      <c r="B27" s="1" t="str">
        <v>병원동행서비스</v>
      </c>
      <c r="C27" s="1" t="str">
        <v>라현자</v>
      </c>
      <c r="D27" s="1" t="str">
        <v>동행매니저</v>
      </c>
      <c r="E27" s="1" t="str">
        <v>동행매니저</v>
      </c>
      <c r="F27" s="1" t="str">
        <v>어르신 병원 동행</v>
      </c>
      <c r="G27" s="1" t="str">
        <v/>
      </c>
    </row>
    <row r="28">
      <c r="A28" s="1" t="str">
        <v>O</v>
      </c>
      <c r="B28" s="1" t="str">
        <v>병원동행서비스</v>
      </c>
      <c r="C28" s="1" t="str">
        <v>전산월</v>
      </c>
      <c r="D28" s="1" t="str">
        <v>동행매니저</v>
      </c>
      <c r="E28" s="1" t="str">
        <v>동행매니저</v>
      </c>
      <c r="F28" s="1" t="str">
        <v>어르신 병원 동행</v>
      </c>
      <c r="G28" s="1" t="str">
        <v/>
      </c>
    </row>
    <row r="29">
      <c r="A29" s="1" t="str">
        <v>O</v>
      </c>
      <c r="B29" s="1" t="str">
        <v>병원동행서비스</v>
      </c>
      <c r="C29" s="1" t="str">
        <v>박상주</v>
      </c>
      <c r="D29" s="1" t="str">
        <v>동행매니저</v>
      </c>
      <c r="E29" s="1" t="str">
        <v>동행매니저</v>
      </c>
      <c r="F29" s="1" t="str">
        <v>어르신 병원 동행</v>
      </c>
      <c r="G29" s="1" t="str">
        <v/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6.83203125" customWidth="1"/>
    <col min="2" max="2" width="12.83203125" customWidth="1"/>
    <col min="3" max="3" width="2.83203125" customWidth="1"/>
    <col min="4" max="4" width="14.83203125" customWidth="1"/>
    <col min="5" max="5" width="18.83203125" customWidth="1"/>
  </cols>
  <sheetData>
    <row r="1">
      <c r="A1" s="1" t="str">
        <v>직종별 인원 (인원은 자동 계산)</v>
      </c>
    </row>
    <row r="2">
      <c r="A2" s="1" t="str">
        <v>인원구분 = 화면 인원표의 칸 (위에서부터 순서대로). 인원 칸은 [직원] 시트에서 자동으로 셉니다.</v>
      </c>
    </row>
    <row r="3">
      <c r="A3" s="1" t="str">
        <v/>
      </c>
    </row>
    <row r="4">
      <c r="A4" s="1" t="str">
        <v>인원구분</v>
      </c>
      <c r="B4" s="1" t="str">
        <v>인원(자동)</v>
      </c>
    </row>
    <row r="5">
      <c r="A5" s="1" t="str">
        <v>이사장</v>
      </c>
      <c r="B5" s="1">
        <f>COUNTIFS(직원!$E$5:$E$300,A5,직원!$A$5:$A$300,"O")</f>
        <v>1</v>
      </c>
      <c r="D5" s="1" t="str">
        <v>계</v>
      </c>
      <c r="E5" s="1">
        <f>SUM(B5:B40)</f>
        <v>25</v>
      </c>
    </row>
    <row r="6">
      <c r="A6" s="1" t="str">
        <v>관장</v>
      </c>
      <c r="B6" s="1">
        <f>COUNTIFS(직원!$E$5:$E$300,A6,직원!$A$5:$A$300,"O")</f>
        <v>1</v>
      </c>
      <c r="D6" s="1" t="str">
        <v>게시 직원 수</v>
      </c>
      <c r="E6" s="1">
        <f>COUNTIF(직원!$A$5:$A$300,"O")</f>
        <v>25</v>
      </c>
    </row>
    <row r="7">
      <c r="A7" s="1" t="str">
        <v>과장</v>
      </c>
      <c r="B7" s="1">
        <f>COUNTIFS(직원!$E$5:$E$300,A7,직원!$A$5:$A$300,"O")</f>
        <v>1</v>
      </c>
      <c r="D7" s="1" t="str">
        <v>점검</v>
      </c>
      <c r="E7" s="1" t="str">
        <f>IF(E5=E6,"정상","인원구분 확인 필요")</f>
        <v>정상</v>
      </c>
    </row>
    <row r="8">
      <c r="A8" s="1" t="str">
        <v>주임</v>
      </c>
      <c r="B8" s="1">
        <f>COUNTIFS(직원!$E$5:$E$300,A8,직원!$A$5:$A$300,"O")</f>
        <v>4</v>
      </c>
    </row>
    <row r="9">
      <c r="A9" s="1" t="str">
        <v>사회복지사</v>
      </c>
      <c r="B9" s="1">
        <f>COUNTIFS(직원!$E$5:$E$300,A9,직원!$A$5:$A$300,"O")</f>
        <v>4</v>
      </c>
    </row>
    <row r="10">
      <c r="A10" s="1" t="str">
        <v>물리치료사</v>
      </c>
      <c r="B10" s="1">
        <f>COUNTIFS(직원!$E$5:$E$300,A10,직원!$A$5:$A$300,"O")</f>
        <v>1</v>
      </c>
    </row>
    <row r="11">
      <c r="A11" s="1" t="str">
        <v>조리사</v>
      </c>
      <c r="B11" s="1">
        <f>COUNTIFS(직원!$E$5:$E$300,A11,직원!$A$5:$A$300,"O")</f>
        <v>1</v>
      </c>
    </row>
    <row r="12">
      <c r="A12" s="1" t="str">
        <v>시설담당</v>
      </c>
      <c r="B12" s="1">
        <f>COUNTIFS(직원!$E$5:$E$300,A12,직원!$A$5:$A$300,"O")</f>
        <v>1</v>
      </c>
    </row>
    <row r="13">
      <c r="A13" s="1" t="str">
        <v>운전담당</v>
      </c>
      <c r="B13" s="1">
        <f>COUNTIFS(직원!$E$5:$E$300,A13,직원!$A$5:$A$300,"O")</f>
        <v>1</v>
      </c>
    </row>
    <row r="14">
      <c r="A14" s="1" t="str">
        <v>조리원</v>
      </c>
      <c r="B14" s="1">
        <f>COUNTIFS(직원!$E$5:$E$300,A14,직원!$A$5:$A$300,"O")</f>
        <v>2</v>
      </c>
    </row>
    <row r="15">
      <c r="A15" s="1" t="str">
        <v>동행매니저</v>
      </c>
      <c r="B15" s="1">
        <f>COUNTIFS(직원!$E$5:$E$300,A15,직원!$A$5:$A$300,"O")</f>
        <v>4</v>
      </c>
    </row>
    <row r="16">
      <c r="A16" s="1" t="str">
        <v>일자리전담</v>
      </c>
      <c r="B16" s="1">
        <f>COUNTIFS(직원!$E$5:$E$300,A16,직원!$A$5:$A$300,"O")</f>
        <v>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7.83203125" customWidth="1"/>
    <col min="2" max="2" width="10.83203125" customWidth="1"/>
    <col min="3" max="3" width="18.83203125" customWidth="1"/>
    <col min="4" max="4" width="24.83203125" customWidth="1"/>
    <col min="5" max="5" width="30.83203125" customWidth="1"/>
  </cols>
  <sheetData>
    <row r="1">
      <c r="A1" s="1" t="str">
        <v>조직도</v>
      </c>
    </row>
    <row r="2">
      <c r="A2" s="1" t="str">
        <v>구분: 상단(이사장) / 관리(관장·과장) / 왼쪽·오른쪽(위원회) / 팀(아래 팀 상자). 팀은 한 줄 = 업무 1개, 소제목을 쓰면 진한 띠로 묶여요.</v>
      </c>
    </row>
    <row r="3">
      <c r="A3" s="1" t="str">
        <v/>
      </c>
    </row>
    <row r="4">
      <c r="A4" s="1" t="str">
        <v>게시</v>
      </c>
      <c r="B4" s="1" t="str">
        <v>구분</v>
      </c>
      <c r="C4" s="1" t="str">
        <v>상자이름</v>
      </c>
      <c r="D4" s="1" t="str">
        <v>소제목</v>
      </c>
      <c r="E4" s="1" t="str">
        <v>항목</v>
      </c>
    </row>
    <row r="5">
      <c r="A5" s="1" t="str">
        <v>O</v>
      </c>
      <c r="B5" s="1" t="str">
        <v>상단</v>
      </c>
      <c r="C5" s="1" t="str">
        <v>이사장</v>
      </c>
      <c r="D5" s="1" t="str">
        <v/>
      </c>
      <c r="E5" s="1" t="str">
        <v>밥상공동체복지재단</v>
      </c>
    </row>
    <row r="6">
      <c r="A6" s="1" t="str">
        <v>O</v>
      </c>
      <c r="B6" s="1" t="str">
        <v>관리</v>
      </c>
      <c r="C6" s="1" t="str">
        <v>관장</v>
      </c>
      <c r="D6" s="1" t="str">
        <v/>
      </c>
      <c r="E6" s="1" t="str">
        <v/>
      </c>
    </row>
    <row r="7">
      <c r="A7" s="1" t="str">
        <v>O</v>
      </c>
      <c r="B7" s="1" t="str">
        <v>관리</v>
      </c>
      <c r="C7" s="1" t="str">
        <v>과장</v>
      </c>
      <c r="D7" s="1" t="str">
        <v/>
      </c>
      <c r="E7" s="1" t="str">
        <v/>
      </c>
    </row>
    <row r="8">
      <c r="A8" s="1" t="str">
        <v>O</v>
      </c>
      <c r="B8" s="1" t="str">
        <v>왼쪽</v>
      </c>
      <c r="C8" s="1" t="str">
        <v>고충처리위원회</v>
      </c>
      <c r="D8" s="1" t="str">
        <v/>
      </c>
      <c r="E8" s="1" t="str">
        <v/>
      </c>
    </row>
    <row r="9">
      <c r="A9" s="1" t="str">
        <v>O</v>
      </c>
      <c r="B9" s="1" t="str">
        <v>왼쪽</v>
      </c>
      <c r="C9" s="1" t="str">
        <v>이용자 협의회</v>
      </c>
      <c r="D9" s="1" t="str">
        <v/>
      </c>
      <c r="E9" s="1" t="str">
        <v/>
      </c>
    </row>
    <row r="10">
      <c r="A10" s="1" t="str">
        <v>O</v>
      </c>
      <c r="B10" s="1" t="str">
        <v>왼쪽</v>
      </c>
      <c r="C10" s="1" t="str">
        <v>후원회</v>
      </c>
      <c r="D10" s="1" t="str">
        <v/>
      </c>
      <c r="E10" s="1" t="str">
        <v/>
      </c>
    </row>
    <row r="11">
      <c r="A11" s="1" t="str">
        <v>O</v>
      </c>
      <c r="B11" s="1" t="str">
        <v>오른쪽</v>
      </c>
      <c r="C11" s="1" t="str">
        <v>자문위원회</v>
      </c>
      <c r="D11" s="1" t="str">
        <v/>
      </c>
      <c r="E11" s="1" t="str">
        <v/>
      </c>
    </row>
    <row r="12">
      <c r="A12" s="1" t="str">
        <v>O</v>
      </c>
      <c r="B12" s="1" t="str">
        <v>오른쪽</v>
      </c>
      <c r="C12" s="1" t="str">
        <v>운영위원회</v>
      </c>
      <c r="D12" s="1" t="str">
        <v/>
      </c>
      <c r="E12" s="1" t="str">
        <v/>
      </c>
    </row>
    <row r="13">
      <c r="A13" s="1" t="str">
        <v>O</v>
      </c>
      <c r="B13" s="1" t="str">
        <v>오른쪽</v>
      </c>
      <c r="C13" s="1" t="str">
        <v>인사위원회</v>
      </c>
      <c r="D13" s="1" t="str">
        <v/>
      </c>
      <c r="E13" s="1" t="str">
        <v/>
      </c>
    </row>
    <row r="14">
      <c r="A14" s="1" t="str">
        <v>O</v>
      </c>
      <c r="B14" s="1" t="str">
        <v>팀</v>
      </c>
      <c r="C14" s="1" t="str">
        <v>운영지원팀</v>
      </c>
      <c r="D14" s="1" t="str">
        <v/>
      </c>
      <c r="E14" s="1" t="str">
        <v>재무·행정</v>
      </c>
    </row>
    <row r="15">
      <c r="A15" s="1" t="str">
        <v>O</v>
      </c>
      <c r="B15" s="1" t="str">
        <v>팀</v>
      </c>
      <c r="C15" s="1" t="str">
        <v>운영지원팀</v>
      </c>
      <c r="D15" s="1" t="str">
        <v/>
      </c>
      <c r="E15" s="1" t="str">
        <v>기획·교육</v>
      </c>
    </row>
    <row r="16">
      <c r="A16" s="1" t="str">
        <v>O</v>
      </c>
      <c r="B16" s="1" t="str">
        <v>팀</v>
      </c>
      <c r="C16" s="1" t="str">
        <v>운영지원팀</v>
      </c>
      <c r="D16" s="1" t="str">
        <v/>
      </c>
      <c r="E16" s="1" t="str">
        <v>시설·안전관리</v>
      </c>
    </row>
    <row r="17">
      <c r="A17" s="1" t="str">
        <v>O</v>
      </c>
      <c r="B17" s="1" t="str">
        <v>팀</v>
      </c>
      <c r="C17" s="1" t="str">
        <v>운영지원팀</v>
      </c>
      <c r="D17" s="1" t="str">
        <v/>
      </c>
      <c r="E17" s="1" t="str">
        <v>문서관리</v>
      </c>
    </row>
    <row r="18">
      <c r="A18" s="1" t="str">
        <v>O</v>
      </c>
      <c r="B18" s="1" t="str">
        <v>팀</v>
      </c>
      <c r="C18" s="1" t="str">
        <v>운영지원팀</v>
      </c>
      <c r="D18" s="1" t="str">
        <v/>
      </c>
      <c r="E18" s="1" t="str">
        <v>버스운행</v>
      </c>
    </row>
    <row r="19">
      <c r="A19" s="1" t="str">
        <v>O</v>
      </c>
      <c r="B19" s="1" t="str">
        <v>팀</v>
      </c>
      <c r="C19" s="1" t="str">
        <v>지역복지팀</v>
      </c>
      <c r="D19" s="1" t="str">
        <v/>
      </c>
      <c r="E19" s="1" t="str">
        <v>사회참여·권익증진</v>
      </c>
    </row>
    <row r="20">
      <c r="A20" s="1" t="str">
        <v>O</v>
      </c>
      <c r="B20" s="1" t="str">
        <v>팀</v>
      </c>
      <c r="C20" s="1" t="str">
        <v>지역복지팀</v>
      </c>
      <c r="D20" s="1" t="str">
        <v/>
      </c>
      <c r="E20" s="1" t="str">
        <v>지역특화사업</v>
      </c>
    </row>
    <row r="21">
      <c r="A21" s="1" t="str">
        <v>O</v>
      </c>
      <c r="B21" s="1" t="str">
        <v>팀</v>
      </c>
      <c r="C21" s="1" t="str">
        <v>지역복지팀</v>
      </c>
      <c r="D21" s="1" t="str">
        <v>건강생활지원</v>
      </c>
      <c r="E21" s="1" t="str">
        <v>기능회복(물리치료)</v>
      </c>
    </row>
    <row r="22">
      <c r="A22" s="1" t="str">
        <v>O</v>
      </c>
      <c r="B22" s="1" t="str">
        <v>팀</v>
      </c>
      <c r="C22" s="1" t="str">
        <v>지역복지팀</v>
      </c>
      <c r="D22" s="1" t="str">
        <v>어르신병원동행서비스</v>
      </c>
      <c r="E22" s="1" t="str">
        <v>병원동행서비스</v>
      </c>
    </row>
    <row r="23">
      <c r="A23" s="1" t="str">
        <v>O</v>
      </c>
      <c r="B23" s="1" t="str">
        <v>팀</v>
      </c>
      <c r="C23" s="1" t="str">
        <v>문화사업팀</v>
      </c>
      <c r="D23" s="1" t="str">
        <v/>
      </c>
      <c r="E23" s="1" t="str">
        <v>상담사업 및 사례관리</v>
      </c>
    </row>
    <row r="24">
      <c r="A24" s="1" t="str">
        <v>O</v>
      </c>
      <c r="B24" s="1" t="str">
        <v>팀</v>
      </c>
      <c r="C24" s="1" t="str">
        <v>문화사업팀</v>
      </c>
      <c r="D24" s="1" t="str">
        <v/>
      </c>
      <c r="E24" s="1" t="str">
        <v>노년사회화교육</v>
      </c>
    </row>
    <row r="25">
      <c r="A25" s="1" t="str">
        <v>O</v>
      </c>
      <c r="B25" s="1" t="str">
        <v>팀</v>
      </c>
      <c r="C25" s="1" t="str">
        <v>문화사업팀</v>
      </c>
      <c r="D25" s="1" t="str">
        <v/>
      </c>
      <c r="E25" s="1" t="str">
        <v>동아리, 아카데미교실</v>
      </c>
    </row>
    <row r="26">
      <c r="A26" s="1" t="str">
        <v>O</v>
      </c>
      <c r="B26" s="1" t="str">
        <v>팀</v>
      </c>
      <c r="C26" s="1" t="str">
        <v>문화사업팀</v>
      </c>
      <c r="D26" s="1" t="str">
        <v/>
      </c>
      <c r="E26" s="1" t="str">
        <v>치매예방프로그램</v>
      </c>
    </row>
    <row r="27">
      <c r="A27" s="1" t="str">
        <v>O</v>
      </c>
      <c r="B27" s="1" t="str">
        <v>팀</v>
      </c>
      <c r="C27" s="1" t="str">
        <v>문화사업팀</v>
      </c>
      <c r="D27" s="1" t="str">
        <v/>
      </c>
      <c r="E27" s="1" t="str">
        <v>외부공모사업</v>
      </c>
    </row>
    <row r="28">
      <c r="A28" s="1" t="str">
        <v>O</v>
      </c>
      <c r="B28" s="1" t="str">
        <v>팀</v>
      </c>
      <c r="C28" s="1" t="str">
        <v>복지사업팀</v>
      </c>
      <c r="D28" s="1" t="str">
        <v/>
      </c>
      <c r="E28" s="1" t="str">
        <v>지역자원개발·연계</v>
      </c>
    </row>
    <row r="29">
      <c r="A29" s="1" t="str">
        <v>O</v>
      </c>
      <c r="B29" s="1" t="str">
        <v>팀</v>
      </c>
      <c r="C29" s="1" t="str">
        <v>복지사업팀</v>
      </c>
      <c r="D29" s="1" t="str">
        <v/>
      </c>
      <c r="E29" s="1" t="str">
        <v>홍보출판사업</v>
      </c>
    </row>
    <row r="30">
      <c r="A30" s="1" t="str">
        <v>O</v>
      </c>
      <c r="B30" s="1" t="str">
        <v>팀</v>
      </c>
      <c r="C30" s="1" t="str">
        <v>복지사업팀</v>
      </c>
      <c r="D30" s="1" t="str">
        <v>노인일자리사업(공익형)</v>
      </c>
      <c r="E30" s="1" t="str">
        <v>공익형 일자리사업</v>
      </c>
    </row>
    <row r="31">
      <c r="A31" s="1" t="str">
        <v>O</v>
      </c>
      <c r="B31" s="1" t="str">
        <v>팀</v>
      </c>
      <c r="C31" s="1" t="str">
        <v>溫器급식팀</v>
      </c>
      <c r="D31" s="1" t="str">
        <v/>
      </c>
      <c r="E31" s="1" t="str">
        <v>집단급식</v>
      </c>
    </row>
    <row r="32">
      <c r="A32" s="1" t="str">
        <v>O</v>
      </c>
      <c r="B32" s="1" t="str">
        <v>팀</v>
      </c>
      <c r="C32" s="1" t="str">
        <v>溫器급식팀</v>
      </c>
      <c r="D32" s="1" t="str">
        <v/>
      </c>
      <c r="E32" s="1" t="str">
        <v>무료급식</v>
      </c>
    </row>
    <row r="33">
      <c r="A33" s="1" t="str">
        <v>O</v>
      </c>
      <c r="B33" s="1" t="str">
        <v>팀</v>
      </c>
      <c r="C33" s="1" t="str">
        <v>溫器급식팀</v>
      </c>
      <c r="D33" s="1" t="str">
        <v/>
      </c>
      <c r="E33" s="1" t="str">
        <v>영양관리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7.83203125" customWidth="1"/>
    <col min="2" max="2" width="10.83203125" customWidth="1"/>
    <col min="3" max="3" width="40.83203125" customWidth="1"/>
    <col min="4" max="4" width="14.83203125" customWidth="1"/>
  </cols>
  <sheetData>
    <row r="1">
      <c r="A1" s="1" t="str">
        <v>복지관 운영위원회</v>
      </c>
    </row>
    <row r="2">
      <c r="A2" s="1" t="str">
        <v>한 줄 = 위원 1명. 비고가 같은 줄이 이어지면 화면에서 자동으로 칸이 합쳐집니다.</v>
      </c>
    </row>
    <row r="3">
      <c r="A3" s="1" t="str">
        <v/>
      </c>
    </row>
    <row r="4">
      <c r="A4" s="1" t="str">
        <v>게시</v>
      </c>
      <c r="B4" s="1" t="str">
        <v>이름</v>
      </c>
      <c r="C4" s="1" t="str">
        <v>소속</v>
      </c>
      <c r="D4" s="1" t="str">
        <v>비고</v>
      </c>
    </row>
    <row r="5">
      <c r="A5" s="1" t="str">
        <v>O</v>
      </c>
      <c r="B5" s="1" t="str">
        <v>한창희</v>
      </c>
      <c r="C5" s="1" t="str">
        <v>(주)남원 대표이사</v>
      </c>
      <c r="D5" s="1" t="str">
        <v>운영위원장</v>
      </c>
    </row>
    <row r="6">
      <c r="A6" s="1" t="str">
        <v>O</v>
      </c>
      <c r="B6" s="1" t="str">
        <v>김정희</v>
      </c>
      <c r="C6" s="1" t="str">
        <v>전)원주시의회 시의원</v>
      </c>
      <c r="D6" s="1" t="str">
        <v>부위원장</v>
      </c>
    </row>
    <row r="7">
      <c r="A7" s="1" t="str">
        <v>O</v>
      </c>
      <c r="B7" s="1" t="str">
        <v>허기복</v>
      </c>
      <c r="C7" s="1" t="str">
        <v>밥상공동체복지재단 대표</v>
      </c>
      <c r="D7" s="1" t="str">
        <v>위원</v>
      </c>
    </row>
    <row r="8">
      <c r="A8" s="1" t="str">
        <v>O</v>
      </c>
      <c r="B8" s="1" t="str">
        <v>이강모</v>
      </c>
      <c r="C8" s="1" t="str">
        <v>원주시 시정자문위원장</v>
      </c>
      <c r="D8" s="1" t="str">
        <v>위원</v>
      </c>
    </row>
    <row r="9">
      <c r="A9" s="1" t="str">
        <v>O</v>
      </c>
      <c r="B9" s="1" t="str">
        <v>오원택</v>
      </c>
      <c r="C9" s="1" t="str">
        <v>태장2동 지역사회보장협의체 위원장</v>
      </c>
      <c r="D9" s="1" t="str">
        <v>위원</v>
      </c>
    </row>
    <row r="10">
      <c r="A10" s="1" t="str">
        <v>O</v>
      </c>
      <c r="B10" s="1" t="str">
        <v>이성녀</v>
      </c>
      <c r="C10" s="1" t="str">
        <v>한국여성경제인협회강원지회 부회장</v>
      </c>
      <c r="D10" s="1" t="str">
        <v>위원</v>
      </c>
    </row>
    <row r="11">
      <c r="A11" s="1" t="str">
        <v>O</v>
      </c>
      <c r="B11" s="1" t="str">
        <v>이희숙</v>
      </c>
      <c r="C11" s="1" t="str">
        <v>북원노인종합복지관 회원</v>
      </c>
      <c r="D11" s="1" t="str">
        <v>위원</v>
      </c>
    </row>
    <row r="12">
      <c r="A12" s="1" t="str">
        <v>O</v>
      </c>
      <c r="B12" s="1" t="str">
        <v>백승희</v>
      </c>
      <c r="C12" s="1" t="str">
        <v>태장2동 행정복지센터 동장</v>
      </c>
      <c r="D12" s="1" t="str">
        <v>위원</v>
      </c>
    </row>
    <row r="13">
      <c r="A13" s="1" t="str">
        <v>O</v>
      </c>
      <c r="B13" s="1" t="str">
        <v>남진우</v>
      </c>
      <c r="C13" s="1" t="str">
        <v>원주시 경로복지과 팀장</v>
      </c>
      <c r="D13" s="1" t="str">
        <v>위원</v>
      </c>
    </row>
    <row r="14">
      <c r="A14" s="1" t="str">
        <v>O</v>
      </c>
      <c r="B14" s="1" t="str">
        <v>허민중</v>
      </c>
      <c r="C14" s="1" t="str">
        <v>북원노인종합복지관 관장</v>
      </c>
      <c r="D14" s="1" t="str">
        <v>위원</v>
      </c>
    </row>
    <row r="15">
      <c r="A15" s="1" t="str">
        <v>O</v>
      </c>
      <c r="B15" s="1" t="str">
        <v>강세진</v>
      </c>
      <c r="C15" s="1" t="str">
        <v>북원노인종합복지관 과장</v>
      </c>
      <c r="D15" s="1" t="str">
        <v>간사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사용법</vt:lpstr>
      <vt:lpstr>직원</vt:lpstr>
      <vt:lpstr>인원현황</vt:lpstr>
      <vt:lpstr>조직도</vt:lpstr>
      <vt:lpstr>운영위원회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