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사용법" sheetId="1" state="visible" r:id="rId3"/>
    <sheet name="직원" sheetId="2" state="visible" r:id="rId4"/>
    <sheet name="인원현황" sheetId="3" state="visible" r:id="rId5"/>
    <sheet name="조직도" sheetId="4" state="visible" r:id="rId6"/>
    <sheet name="운영위원회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<sst xmlns="http://schemas.openxmlformats.org/spreadsheetml/2006/main" count="367" uniqueCount="166">
  <si>
    <r>
      <rPr>
        <b val="true"/>
        <sz val="13"/>
        <rFont val="Noto Sans CJK SC"/>
        <family val="2"/>
      </rPr>
      <t xml:space="preserve">북원노인종합복지관 </t>
    </r>
    <r>
      <rPr>
        <b val="true"/>
        <sz val="13"/>
        <rFont val="맑은 고딕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조직현황 페이지 관리표</t>
    </r>
  </si>
  <si>
    <r>
      <rPr>
        <sz val="11"/>
        <rFont val="Noto Sans CJK SC"/>
        <family val="2"/>
      </rPr>
      <t xml:space="preserve">이 파일은 </t>
    </r>
    <r>
      <rPr>
        <sz val="11"/>
        <rFont val="맑은 고딕"/>
        <family val="0"/>
        <charset val="1"/>
      </rPr>
      <t xml:space="preserve">"</t>
    </r>
    <r>
      <rPr>
        <sz val="11"/>
        <rFont val="Noto Sans CJK SC"/>
        <family val="2"/>
      </rPr>
      <t xml:space="preserve">홈페이지 편집기</t>
    </r>
    <r>
      <rPr>
        <sz val="11"/>
        <rFont val="맑은 고딕"/>
        <family val="0"/>
        <charset val="1"/>
      </rPr>
      <t xml:space="preserve">"(</t>
    </r>
    <r>
      <rPr>
        <sz val="11"/>
        <rFont val="Noto Sans CJK SC"/>
        <family val="2"/>
      </rPr>
      <t xml:space="preserve">조직현황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로 편집하는 것을 권장합니다</t>
    </r>
    <r>
      <rPr>
        <sz val="11"/>
        <rFont val="맑은 고딕"/>
        <family val="0"/>
        <charset val="1"/>
      </rPr>
      <t xml:space="preserve">.</t>
    </r>
  </si>
  <si>
    <r>
      <rPr>
        <b val="true"/>
        <sz val="11"/>
        <rFont val="Noto Sans CJK SC"/>
        <family val="2"/>
      </rPr>
      <t xml:space="preserve">■ 이 파일 하나로 조직현황 페이지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조직도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인원표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직원</t>
    </r>
    <r>
      <rPr>
        <b val="true"/>
        <sz val="11"/>
        <rFont val="맑은 고딕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운영위원회</t>
    </r>
    <r>
      <rPr>
        <b val="true"/>
        <sz val="11"/>
        <rFont val="맑은 고딕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가 모두 바뀝니다</t>
    </r>
    <r>
      <rPr>
        <b val="true"/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</si>
  <si>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1. </t>
    </r>
    <r>
      <rPr>
        <sz val="11"/>
        <rFont val="Noto Sans CJK SC"/>
        <family val="2"/>
      </rPr>
      <t xml:space="preserve">직원이 들어오면 → </t>
    </r>
    <r>
      <rPr>
        <sz val="11"/>
        <rFont val="맑은 고딕"/>
        <family val="0"/>
        <charset val="1"/>
      </rPr>
      <t xml:space="preserve">[</t>
    </r>
    <r>
      <rPr>
        <sz val="11"/>
        <rFont val="Noto Sans CJK SC"/>
        <family val="2"/>
      </rPr>
      <t xml:space="preserve">직원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시트에 한 줄 추가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팀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이름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직책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인원구분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주요업무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</si>
  <si>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직원이 나가면 → 줄 삭제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휴직 등으로 잠시 숨길 땐 게시 </t>
    </r>
    <r>
      <rPr>
        <sz val="11"/>
        <rFont val="맑은 고딕"/>
        <family val="0"/>
        <charset val="1"/>
      </rPr>
      <t xml:space="preserve">X</t>
    </r>
  </si>
  <si>
    <r>
      <rPr>
        <sz val="11"/>
        <rFont val="맑은 고딕"/>
        <family val="0"/>
        <charset val="1"/>
      </rPr>
      <t xml:space="preserve">3. </t>
    </r>
    <r>
      <rPr>
        <sz val="11"/>
        <rFont val="Noto Sans CJK SC"/>
        <family val="2"/>
      </rPr>
      <t xml:space="preserve">인원표는 직접 세지 않습니다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인원구분 칸만 맞게 고르면 자동 집계 </t>
    </r>
    <r>
      <rPr>
        <sz val="11"/>
        <rFont val="맑은 고딕"/>
        <family val="0"/>
        <charset val="1"/>
      </rPr>
      <t xml:space="preserve">([</t>
    </r>
    <r>
      <rPr>
        <sz val="11"/>
        <rFont val="Noto Sans CJK SC"/>
        <family val="2"/>
      </rPr>
      <t xml:space="preserve">인원현황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점검 칸 </t>
    </r>
    <r>
      <rPr>
        <sz val="11"/>
        <rFont val="맑은 고딕"/>
        <family val="0"/>
        <charset val="1"/>
      </rPr>
      <t xml:space="preserve">= "</t>
    </r>
    <r>
      <rPr>
        <sz val="11"/>
        <rFont val="Noto Sans CJK SC"/>
        <family val="2"/>
      </rPr>
      <t xml:space="preserve">정상</t>
    </r>
    <r>
      <rPr>
        <sz val="11"/>
        <rFont val="맑은 고딕"/>
        <family val="0"/>
        <charset val="1"/>
      </rPr>
      <t xml:space="preserve">")</t>
    </r>
  </si>
  <si>
    <r>
      <rPr>
        <sz val="11"/>
        <rFont val="맑은 고딕"/>
        <family val="0"/>
        <charset val="1"/>
      </rPr>
      <t xml:space="preserve">4. </t>
    </r>
    <r>
      <rPr>
        <sz val="11"/>
        <rFont val="Noto Sans CJK SC"/>
        <family val="2"/>
      </rPr>
      <t xml:space="preserve">화면 순서 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엑셀 줄 순서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팀이 같은 줄은 붙여서 쓰세요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</si>
  <si>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Noto Sans CJK SC"/>
        <family val="2"/>
      </rPr>
      <t xml:space="preserve">이름은 붙여서 입력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허민중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화면에서 보기 좋게 띄워 줍니다</t>
    </r>
  </si>
  <si>
    <t xml:space="preserve">■ 주의</t>
  </si>
  <si>
    <r>
      <rPr>
        <sz val="11"/>
        <rFont val="맑은 고딕"/>
        <family val="0"/>
        <charset val="1"/>
      </rPr>
      <t xml:space="preserve">· </t>
    </r>
    <r>
      <rPr>
        <sz val="11"/>
        <rFont val="Noto Sans CJK SC"/>
        <family val="2"/>
      </rPr>
      <t xml:space="preserve">시트 이름</t>
    </r>
    <r>
      <rPr>
        <sz val="11"/>
        <rFont val="맑은 고딕"/>
        <family val="0"/>
        <charset val="1"/>
      </rPr>
      <t xml:space="preserve">·4</t>
    </r>
    <r>
      <rPr>
        <sz val="11"/>
        <rFont val="Noto Sans CJK SC"/>
        <family val="2"/>
      </rPr>
      <t xml:space="preserve">행 머리글은 바꾸지 마세요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홈페이지가 이 이름으로 읽습니다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</si>
  <si>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Noto Sans CJK SC"/>
        <family val="2"/>
      </rPr>
      <t xml:space="preserve">칸 합치기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병합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는 하지 마세요 — 같은 팀</t>
    </r>
    <r>
      <rPr>
        <sz val="11"/>
        <rFont val="맑은 고딕"/>
        <family val="0"/>
        <charset val="1"/>
      </rPr>
      <t xml:space="preserve">/</t>
    </r>
    <r>
      <rPr>
        <sz val="11"/>
        <rFont val="Noto Sans CJK SC"/>
        <family val="2"/>
      </rPr>
      <t xml:space="preserve">비고는 화면에서 자동으로 합쳐집니다</t>
    </r>
  </si>
  <si>
    <r>
      <rPr>
        <sz val="11"/>
        <rFont val="맑은 고딕"/>
        <family val="0"/>
        <charset val="1"/>
      </rPr>
      <t xml:space="preserve">· </t>
    </r>
    <r>
      <rPr>
        <sz val="11"/>
        <rFont val="Noto Sans CJK SC"/>
        <family val="2"/>
      </rPr>
      <t xml:space="preserve">회색 칸 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자동 계산</t>
    </r>
  </si>
  <si>
    <t xml:space="preserve">직원 및 주요업무</t>
  </si>
  <si>
    <r>
      <rPr>
        <sz val="10"/>
        <color rgb="FF666666"/>
        <rFont val="Noto Sans CJK SC"/>
        <family val="2"/>
      </rPr>
      <t xml:space="preserve">한 줄 </t>
    </r>
    <r>
      <rPr>
        <sz val="10"/>
        <color rgb="FF666666"/>
        <rFont val="맑은 고딕"/>
        <family val="0"/>
        <charset val="1"/>
      </rPr>
      <t xml:space="preserve">= </t>
    </r>
    <r>
      <rPr>
        <sz val="10"/>
        <color rgb="FF666666"/>
        <rFont val="Noto Sans CJK SC"/>
        <family val="2"/>
      </rPr>
      <t xml:space="preserve">직원 </t>
    </r>
    <r>
      <rPr>
        <sz val="10"/>
        <color rgb="FF666666"/>
        <rFont val="맑은 고딕"/>
        <family val="0"/>
        <charset val="1"/>
      </rPr>
      <t xml:space="preserve">1</t>
    </r>
    <r>
      <rPr>
        <sz val="10"/>
        <color rgb="FF666666"/>
        <rFont val="Noto Sans CJK SC"/>
        <family val="2"/>
      </rPr>
      <t xml:space="preserve">명</t>
    </r>
    <r>
      <rPr>
        <sz val="10"/>
        <color rgb="FF666666"/>
        <rFont val="맑은 고딕"/>
        <family val="0"/>
        <charset val="1"/>
      </rPr>
      <t xml:space="preserve">. </t>
    </r>
    <r>
      <rPr>
        <sz val="10"/>
        <color rgb="FF666666"/>
        <rFont val="Noto Sans CJK SC"/>
        <family val="2"/>
      </rPr>
      <t xml:space="preserve">위에서부터 나온 순서대로 화면에 나오고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Noto Sans CJK SC"/>
        <family val="2"/>
      </rPr>
      <t xml:space="preserve">팀이 같은 줄은 자동으로 묶입니다</t>
    </r>
    <r>
      <rPr>
        <sz val="10"/>
        <color rgb="FF666666"/>
        <rFont val="맑은 고딕"/>
        <family val="0"/>
        <charset val="1"/>
      </rPr>
      <t xml:space="preserve">. </t>
    </r>
    <r>
      <rPr>
        <sz val="10"/>
        <color rgb="FF666666"/>
        <rFont val="Noto Sans CJK SC"/>
        <family val="2"/>
      </rPr>
      <t xml:space="preserve">게시 </t>
    </r>
    <r>
      <rPr>
        <sz val="10"/>
        <color rgb="FF666666"/>
        <rFont val="맑은 고딕"/>
        <family val="0"/>
        <charset val="1"/>
      </rPr>
      <t xml:space="preserve">X = </t>
    </r>
    <r>
      <rPr>
        <sz val="10"/>
        <color rgb="FF666666"/>
        <rFont val="Noto Sans CJK SC"/>
        <family val="2"/>
      </rPr>
      <t xml:space="preserve">숨김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</si>
  <si>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게시</t>
  </si>
  <si>
    <t xml:space="preserve">팀</t>
  </si>
  <si>
    <t xml:space="preserve">이름</t>
  </si>
  <si>
    <t xml:space="preserve">직책</t>
  </si>
  <si>
    <t xml:space="preserve">인원구분</t>
  </si>
  <si>
    <t xml:space="preserve">주요업무</t>
  </si>
  <si>
    <t xml:space="preserve">비고</t>
  </si>
  <si>
    <t xml:space="preserve">O</t>
  </si>
  <si>
    <t xml:space="preserve">법인</t>
  </si>
  <si>
    <t xml:space="preserve">허기복</t>
  </si>
  <si>
    <t xml:space="preserve">이사장</t>
  </si>
  <si>
    <t xml:space="preserve">복지관 지도 및 총괄</t>
  </si>
  <si>
    <t xml:space="preserve">복지관</t>
  </si>
  <si>
    <t xml:space="preserve">허민중</t>
  </si>
  <si>
    <t xml:space="preserve">관장</t>
  </si>
  <si>
    <t xml:space="preserve">복지관 운영 총괄</t>
  </si>
  <si>
    <t xml:space="preserve">강세진</t>
  </si>
  <si>
    <t xml:space="preserve">과장</t>
  </si>
  <si>
    <r>
      <rPr>
        <sz val="10"/>
        <rFont val="Noto Sans CJK SC"/>
        <family val="2"/>
      </rPr>
      <t xml:space="preserve">복지관 사업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기획 등 실무 총괄</t>
    </r>
  </si>
  <si>
    <t xml:space="preserve">운영지원팀</t>
  </si>
  <si>
    <t xml:space="preserve">정수연</t>
  </si>
  <si>
    <r>
      <rPr>
        <sz val="10"/>
        <rFont val="Noto Sans CJK SC"/>
        <family val="2"/>
      </rPr>
      <t xml:space="preserve">사무원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주임</t>
    </r>
    <r>
      <rPr>
        <sz val="10"/>
        <rFont val="맑은 고딕"/>
        <family val="0"/>
        <charset val="1"/>
      </rPr>
      <t xml:space="preserve">)</t>
    </r>
  </si>
  <si>
    <t xml:space="preserve">주임</t>
  </si>
  <si>
    <r>
      <rPr>
        <sz val="10"/>
        <rFont val="Noto Sans CJK SC"/>
        <family val="2"/>
      </rPr>
      <t xml:space="preserve">예산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재무회계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사무 관련 업무</t>
    </r>
  </si>
  <si>
    <t xml:space="preserve">오정범</t>
  </si>
  <si>
    <t xml:space="preserve">시설담당</t>
  </si>
  <si>
    <r>
      <rPr>
        <sz val="10"/>
        <rFont val="Noto Sans CJK SC"/>
        <family val="2"/>
      </rPr>
      <t xml:space="preserve">시설물 안전 점검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내외부 환경관리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비품관리 등</t>
    </r>
  </si>
  <si>
    <t xml:space="preserve">김용근</t>
  </si>
  <si>
    <t xml:space="preserve">운전담당</t>
  </si>
  <si>
    <t xml:space="preserve">버스 운행 및 관리 등</t>
  </si>
  <si>
    <t xml:space="preserve">지역복지팀</t>
  </si>
  <si>
    <t xml:space="preserve">김준일</t>
  </si>
  <si>
    <r>
      <rPr>
        <sz val="10"/>
        <rFont val="Noto Sans CJK SC"/>
        <family val="2"/>
      </rPr>
      <t xml:space="preserve">자원봉사개발 및 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노인권익증진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선배시민봉사단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우리방송국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경로식당 관리 등</t>
    </r>
  </si>
  <si>
    <t xml:space="preserve">백지현</t>
  </si>
  <si>
    <t xml:space="preserve">물리치료사</t>
  </si>
  <si>
    <r>
      <rPr>
        <sz val="10"/>
        <rFont val="Noto Sans CJK SC"/>
        <family val="2"/>
      </rPr>
      <t xml:space="preserve">건강생활지원사업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물리치료 및 건강증진 등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외부 건강 연계 사업 등</t>
    </r>
  </si>
  <si>
    <t xml:space="preserve">복지사업팀</t>
  </si>
  <si>
    <t xml:space="preserve">임은식</t>
  </si>
  <si>
    <r>
      <rPr>
        <sz val="10"/>
        <rFont val="Noto Sans CJK SC"/>
        <family val="2"/>
      </rPr>
      <t xml:space="preserve">자원개발 및 연계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이용자 자치모임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홍보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출판사업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노인일자리 및 사회활동지원사업 등</t>
    </r>
  </si>
  <si>
    <t xml:space="preserve">반경미</t>
  </si>
  <si>
    <t xml:space="preserve">일자리담당</t>
  </si>
  <si>
    <t xml:space="preserve">일자리전담</t>
  </si>
  <si>
    <r>
      <rPr>
        <sz val="10"/>
        <rFont val="Noto Sans CJK SC"/>
        <family val="2"/>
      </rPr>
      <t xml:space="preserve">공익형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북부환경지킴이 실무 담당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태장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동</t>
    </r>
    <r>
      <rPr>
        <sz val="10"/>
        <rFont val="맑은 고딕"/>
        <family val="0"/>
        <charset val="1"/>
      </rPr>
      <t xml:space="preserve">)</t>
    </r>
  </si>
  <si>
    <t xml:space="preserve">김은희</t>
  </si>
  <si>
    <r>
      <rPr>
        <sz val="10"/>
        <rFont val="Noto Sans CJK SC"/>
        <family val="2"/>
      </rPr>
      <t xml:space="preserve">공익형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북부환경지킴이 실무 담당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소초면</t>
    </r>
    <r>
      <rPr>
        <sz val="10"/>
        <rFont val="맑은 고딕"/>
        <family val="0"/>
        <charset val="1"/>
      </rPr>
      <t xml:space="preserve">)</t>
    </r>
  </si>
  <si>
    <t xml:space="preserve">홍정아</t>
  </si>
  <si>
    <t xml:space="preserve">윤경숙</t>
  </si>
  <si>
    <r>
      <rPr>
        <sz val="10"/>
        <rFont val="Noto Sans CJK SC"/>
        <family val="2"/>
      </rPr>
      <t xml:space="preserve">공익형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북부환경지킴이 실무 담당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태장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동</t>
    </r>
    <r>
      <rPr>
        <sz val="10"/>
        <rFont val="맑은 고딕"/>
        <family val="0"/>
        <charset val="1"/>
      </rPr>
      <t xml:space="preserve">)</t>
    </r>
  </si>
  <si>
    <t xml:space="preserve">문화사업팀</t>
  </si>
  <si>
    <t xml:space="preserve">박희경</t>
  </si>
  <si>
    <t xml:space="preserve">육아휴직</t>
  </si>
  <si>
    <t xml:space="preserve">전혜연</t>
  </si>
  <si>
    <t xml:space="preserve">사회복지사</t>
  </si>
  <si>
    <r>
      <rPr>
        <sz val="10"/>
        <rFont val="Noto Sans CJK SC"/>
        <family val="2"/>
      </rPr>
      <t xml:space="preserve">이용회원관리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상담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사례관리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기획행사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동아리 지원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북원보듬축제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외부지원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공모사업 등</t>
    </r>
  </si>
  <si>
    <t xml:space="preserve">신유나</t>
  </si>
  <si>
    <r>
      <rPr>
        <sz val="10"/>
        <rFont val="Noto Sans CJK SC"/>
        <family val="2"/>
      </rPr>
      <t xml:space="preserve">노년사회화교육사업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강사채용관리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방학특강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디지털 배움터 등</t>
    </r>
  </si>
  <si>
    <t xml:space="preserve">이하율</t>
  </si>
  <si>
    <r>
      <rPr>
        <sz val="10"/>
        <rFont val="Noto Sans CJK SC"/>
        <family val="2"/>
      </rPr>
      <t xml:space="preserve">자율이용프로그램 관리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치매예방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재가도시락 등</t>
    </r>
  </si>
  <si>
    <t xml:space="preserve">급식팀</t>
  </si>
  <si>
    <t xml:space="preserve">김순덕</t>
  </si>
  <si>
    <t xml:space="preserve">조리사</t>
  </si>
  <si>
    <r>
      <rPr>
        <sz val="10"/>
        <rFont val="Noto Sans CJK SC"/>
        <family val="2"/>
      </rPr>
      <t xml:space="preserve">경로식당 운영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식재료 발주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검수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위생관리 등</t>
    </r>
  </si>
  <si>
    <t xml:space="preserve">김순용</t>
  </si>
  <si>
    <t xml:space="preserve">조리원</t>
  </si>
  <si>
    <t xml:space="preserve">경로식당 조리업무 보조</t>
  </si>
  <si>
    <t xml:space="preserve">안미자</t>
  </si>
  <si>
    <t xml:space="preserve">병원동행서비스</t>
  </si>
  <si>
    <t xml:space="preserve">장은정</t>
  </si>
  <si>
    <t xml:space="preserve">전담사회복지사</t>
  </si>
  <si>
    <t xml:space="preserve">병원동행서비스 전담</t>
  </si>
  <si>
    <t xml:space="preserve">인원표에서는 사회복지사로 셈</t>
  </si>
  <si>
    <t xml:space="preserve">김재화</t>
  </si>
  <si>
    <t xml:space="preserve">동행매니저</t>
  </si>
  <si>
    <t xml:space="preserve">어르신 병원 동행</t>
  </si>
  <si>
    <t xml:space="preserve">라현자</t>
  </si>
  <si>
    <t xml:space="preserve">전산월</t>
  </si>
  <si>
    <t xml:space="preserve">박상주</t>
  </si>
  <si>
    <t xml:space="preserve">한순희</t>
  </si>
  <si>
    <r>
      <rPr>
        <b val="true"/>
        <sz val="14"/>
        <rFont val="Noto Sans CJK SC"/>
        <family val="2"/>
      </rPr>
      <t xml:space="preserve">직종별 인원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인원은 자동 계산</t>
    </r>
    <r>
      <rPr>
        <b val="true"/>
        <sz val="14"/>
        <rFont val="맑은 고딕"/>
        <family val="0"/>
        <charset val="1"/>
      </rPr>
      <t xml:space="preserve">)</t>
    </r>
  </si>
  <si>
    <r>
      <rPr>
        <sz val="10"/>
        <color rgb="FF666666"/>
        <rFont val="Noto Sans CJK SC"/>
        <family val="2"/>
      </rPr>
      <t xml:space="preserve">인원구분 </t>
    </r>
    <r>
      <rPr>
        <sz val="10"/>
        <color rgb="FF666666"/>
        <rFont val="맑은 고딕"/>
        <family val="0"/>
        <charset val="1"/>
      </rPr>
      <t xml:space="preserve">= </t>
    </r>
    <r>
      <rPr>
        <sz val="10"/>
        <color rgb="FF666666"/>
        <rFont val="Noto Sans CJK SC"/>
        <family val="2"/>
      </rPr>
      <t xml:space="preserve">화면 인원표의 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Noto Sans CJK SC"/>
        <family val="2"/>
      </rPr>
      <t xml:space="preserve">위에서부터 순서대로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Noto Sans CJK SC"/>
        <family val="2"/>
      </rPr>
      <t xml:space="preserve">인원 칸은 </t>
    </r>
    <r>
      <rPr>
        <sz val="10"/>
        <color rgb="FF666666"/>
        <rFont val="맑은 고딕"/>
        <family val="0"/>
        <charset val="1"/>
      </rPr>
      <t xml:space="preserve">[</t>
    </r>
    <r>
      <rPr>
        <sz val="10"/>
        <color rgb="FF666666"/>
        <rFont val="Noto Sans CJK SC"/>
        <family val="2"/>
      </rPr>
      <t xml:space="preserve">직원</t>
    </r>
    <r>
      <rPr>
        <sz val="10"/>
        <color rgb="FF666666"/>
        <rFont val="맑은 고딕"/>
        <family val="0"/>
        <charset val="1"/>
      </rPr>
      <t xml:space="preserve">] </t>
    </r>
    <r>
      <rPr>
        <sz val="10"/>
        <color rgb="FF666666"/>
        <rFont val="Noto Sans CJK SC"/>
        <family val="2"/>
      </rPr>
      <t xml:space="preserve">시트에서 자동으로 셉니다</t>
    </r>
    <r>
      <rPr>
        <sz val="10"/>
        <color rgb="FF666666"/>
        <rFont val="맑은 고딕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</si>
  <si>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인원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자동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</si>
  <si>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계</t>
  </si>
  <si>
    <t xml:space="preserve">게시 직원 수</t>
  </si>
  <si>
    <t xml:space="preserve">점검</t>
  </si>
  <si>
    <r>
      <rPr>
        <sz val="9"/>
        <color rgb="FFC00000"/>
        <rFont val="Noto Sans CJK SC"/>
        <family val="2"/>
      </rPr>
      <t xml:space="preserve">※ 계와 게시 직원 수가 다르면 </t>
    </r>
    <r>
      <rPr>
        <sz val="9"/>
        <color rgb="FFC00000"/>
        <rFont val="맑은 고딕"/>
        <family val="0"/>
        <charset val="1"/>
      </rPr>
      <t xml:space="preserve">[</t>
    </r>
    <r>
      <rPr>
        <sz val="9"/>
        <color rgb="FFC00000"/>
        <rFont val="Noto Sans CJK SC"/>
        <family val="2"/>
      </rPr>
      <t xml:space="preserve">직원</t>
    </r>
    <r>
      <rPr>
        <sz val="9"/>
        <color rgb="FFC00000"/>
        <rFont val="맑은 고딕"/>
        <family val="0"/>
        <charset val="1"/>
      </rPr>
      <t xml:space="preserve">] </t>
    </r>
    <r>
      <rPr>
        <sz val="9"/>
        <color rgb="FFC00000"/>
        <rFont val="Noto Sans CJK SC"/>
        <family val="2"/>
      </rPr>
      <t xml:space="preserve">시트 인원구분이 비었거나 이 목록에 없는 값입니다</t>
    </r>
    <r>
      <rPr>
        <sz val="9"/>
        <color rgb="FFC00000"/>
        <rFont val="맑은 고딕"/>
        <family val="0"/>
        <charset val="1"/>
      </rPr>
      <t xml:space="preserve">.</t>
    </r>
  </si>
  <si>
    <t xml:space="preserve">조직도</t>
  </si>
  <si>
    <r>
      <rPr>
        <sz val="10"/>
        <color rgb="FF666666"/>
        <rFont val="Noto Sans CJK SC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Noto Sans CJK SC"/>
        <family val="2"/>
      </rPr>
      <t xml:space="preserve">상단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Noto Sans CJK SC"/>
        <family val="2"/>
      </rPr>
      <t xml:space="preserve">이사장</t>
    </r>
    <r>
      <rPr>
        <sz val="10"/>
        <color rgb="FF666666"/>
        <rFont val="맑은 고딕"/>
        <family val="0"/>
        <charset val="1"/>
      </rPr>
      <t xml:space="preserve">) / </t>
    </r>
    <r>
      <rPr>
        <sz val="10"/>
        <color rgb="FF666666"/>
        <rFont val="Noto Sans CJK SC"/>
        <family val="2"/>
      </rPr>
      <t xml:space="preserve">관리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Noto Sans CJK SC"/>
        <family val="2"/>
      </rPr>
      <t xml:space="preserve">관장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Noto Sans CJK SC"/>
        <family val="2"/>
      </rPr>
      <t xml:space="preserve">과장</t>
    </r>
    <r>
      <rPr>
        <sz val="10"/>
        <color rgb="FF666666"/>
        <rFont val="맑은 고딕"/>
        <family val="0"/>
        <charset val="1"/>
      </rPr>
      <t xml:space="preserve">) / </t>
    </r>
    <r>
      <rPr>
        <sz val="10"/>
        <color rgb="FF666666"/>
        <rFont val="Noto Sans CJK SC"/>
        <family val="2"/>
      </rPr>
      <t xml:space="preserve">왼쪽</t>
    </r>
    <r>
      <rPr>
        <sz val="10"/>
        <color rgb="FF666666"/>
        <rFont val="맑은 고딕"/>
        <family val="0"/>
        <charset val="1"/>
      </rPr>
      <t xml:space="preserve">·</t>
    </r>
    <r>
      <rPr>
        <sz val="10"/>
        <color rgb="FF666666"/>
        <rFont val="Noto Sans CJK SC"/>
        <family val="2"/>
      </rPr>
      <t xml:space="preserve">오른쪽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Noto Sans CJK SC"/>
        <family val="2"/>
      </rPr>
      <t xml:space="preserve">위원회</t>
    </r>
    <r>
      <rPr>
        <sz val="10"/>
        <color rgb="FF666666"/>
        <rFont val="맑은 고딕"/>
        <family val="0"/>
        <charset val="1"/>
      </rPr>
      <t xml:space="preserve">) / </t>
    </r>
    <r>
      <rPr>
        <sz val="10"/>
        <color rgb="FF666666"/>
        <rFont val="Noto Sans CJK SC"/>
        <family val="2"/>
      </rPr>
      <t xml:space="preserve">팀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Noto Sans CJK SC"/>
        <family val="2"/>
      </rPr>
      <t xml:space="preserve">아래 팀 상자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Noto Sans CJK SC"/>
        <family val="2"/>
      </rPr>
      <t xml:space="preserve">팀은 한 줄 </t>
    </r>
    <r>
      <rPr>
        <sz val="10"/>
        <color rgb="FF666666"/>
        <rFont val="맑은 고딕"/>
        <family val="0"/>
        <charset val="1"/>
      </rPr>
      <t xml:space="preserve">= </t>
    </r>
    <r>
      <rPr>
        <sz val="10"/>
        <color rgb="FF666666"/>
        <rFont val="Noto Sans CJK SC"/>
        <family val="2"/>
      </rPr>
      <t xml:space="preserve">업무 </t>
    </r>
    <r>
      <rPr>
        <sz val="10"/>
        <color rgb="FF666666"/>
        <rFont val="맑은 고딕"/>
        <family val="0"/>
        <charset val="1"/>
      </rPr>
      <t xml:space="preserve">1</t>
    </r>
    <r>
      <rPr>
        <sz val="10"/>
        <color rgb="FF666666"/>
        <rFont val="Noto Sans CJK SC"/>
        <family val="2"/>
      </rPr>
      <t xml:space="preserve">개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Noto Sans CJK SC"/>
        <family val="2"/>
      </rPr>
      <t xml:space="preserve">소제목을 쓰면 진한 띠로 묶여요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</si>
  <si>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</si>
  <si>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상자이름</t>
  </si>
  <si>
    <t xml:space="preserve">소제목</t>
  </si>
  <si>
    <t xml:space="preserve">항목</t>
  </si>
  <si>
    <r>
      <rPr>
        <sz val="9"/>
        <color rgb="FF666666"/>
        <rFont val="Noto Sans CJK SC"/>
        <family val="2"/>
      </rPr>
      <t xml:space="preserve">※ 상단 줄의 항목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Noto Sans CJK SC"/>
        <family val="2"/>
      </rPr>
      <t xml:space="preserve">상자 위 작은 글씨</t>
    </r>
  </si>
  <si>
    <t xml:space="preserve">상단</t>
  </si>
  <si>
    <t xml:space="preserve">밥상공동체복지재단</t>
  </si>
  <si>
    <t xml:space="preserve">관리</t>
  </si>
  <si>
    <t xml:space="preserve">왼쪽</t>
  </si>
  <si>
    <t xml:space="preserve">고충처리위원회</t>
  </si>
  <si>
    <t xml:space="preserve">이용자 협의회</t>
  </si>
  <si>
    <t xml:space="preserve">후원회</t>
  </si>
  <si>
    <t xml:space="preserve">오른쪽</t>
  </si>
  <si>
    <t xml:space="preserve">자문위원회</t>
  </si>
  <si>
    <t xml:space="preserve">운영위원회</t>
  </si>
  <si>
    <t xml:space="preserve">인사위원회</t>
  </si>
  <si>
    <r>
      <rPr>
        <sz val="10"/>
        <rFont val="Noto Sans CJK SC"/>
        <family val="2"/>
      </rPr>
      <t xml:space="preserve">재무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행정</t>
    </r>
  </si>
  <si>
    <r>
      <rPr>
        <sz val="10"/>
        <rFont val="Noto Sans CJK SC"/>
        <family val="2"/>
      </rPr>
      <t xml:space="preserve">기획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교육</t>
    </r>
  </si>
  <si>
    <r>
      <rPr>
        <sz val="10"/>
        <rFont val="Noto Sans CJK SC"/>
        <family val="2"/>
      </rPr>
      <t xml:space="preserve">시설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안전관리</t>
    </r>
  </si>
  <si>
    <t xml:space="preserve">문서관리</t>
  </si>
  <si>
    <t xml:space="preserve">버스운행</t>
  </si>
  <si>
    <r>
      <rPr>
        <sz val="10"/>
        <rFont val="Noto Sans CJK SC"/>
        <family val="2"/>
      </rPr>
      <t xml:space="preserve">사회참여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권익증진</t>
    </r>
  </si>
  <si>
    <t xml:space="preserve">지역특화사업</t>
  </si>
  <si>
    <t xml:space="preserve">건강생활지원</t>
  </si>
  <si>
    <r>
      <rPr>
        <sz val="10"/>
        <rFont val="Noto Sans CJK SC"/>
        <family val="2"/>
      </rPr>
      <t xml:space="preserve">기능회복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물리치료</t>
    </r>
    <r>
      <rPr>
        <sz val="10"/>
        <rFont val="맑은 고딕"/>
        <family val="0"/>
        <charset val="1"/>
      </rPr>
      <t xml:space="preserve">)</t>
    </r>
  </si>
  <si>
    <t xml:space="preserve">어르신병원동행서비스</t>
  </si>
  <si>
    <t xml:space="preserve">상담사업 및 사례관리</t>
  </si>
  <si>
    <t xml:space="preserve">노년사회화교육</t>
  </si>
  <si>
    <r>
      <rPr>
        <sz val="10"/>
        <rFont val="Noto Sans CJK SC"/>
        <family val="2"/>
      </rPr>
      <t xml:space="preserve">동아리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아카데미교실</t>
    </r>
  </si>
  <si>
    <t xml:space="preserve">치매예방프로그램</t>
  </si>
  <si>
    <t xml:space="preserve">외부공모사업</t>
  </si>
  <si>
    <r>
      <rPr>
        <sz val="10"/>
        <rFont val="Noto Sans CJK SC"/>
        <family val="2"/>
      </rPr>
      <t xml:space="preserve">지역자원개발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연계</t>
    </r>
  </si>
  <si>
    <t xml:space="preserve">홍보출판사업</t>
  </si>
  <si>
    <r>
      <rPr>
        <sz val="10"/>
        <rFont val="Noto Sans CJK SC"/>
        <family val="2"/>
      </rPr>
      <t xml:space="preserve">노인일자리사업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공익형</t>
    </r>
    <r>
      <rPr>
        <sz val="10"/>
        <rFont val="맑은 고딕"/>
        <family val="0"/>
        <charset val="1"/>
      </rPr>
      <t xml:space="preserve">)</t>
    </r>
  </si>
  <si>
    <t xml:space="preserve">공익형 일자리사업</t>
  </si>
  <si>
    <t xml:space="preserve">溫器급식팀</t>
  </si>
  <si>
    <t xml:space="preserve">집단급식</t>
  </si>
  <si>
    <t xml:space="preserve">무료급식</t>
  </si>
  <si>
    <t xml:space="preserve">영양관리</t>
  </si>
  <si>
    <t xml:space="preserve">복지관 운영위원회</t>
  </si>
  <si>
    <r>
      <rPr>
        <sz val="10"/>
        <color rgb="FF666666"/>
        <rFont val="Noto Sans CJK SC"/>
        <family val="2"/>
      </rPr>
      <t xml:space="preserve">한 줄 </t>
    </r>
    <r>
      <rPr>
        <sz val="10"/>
        <color rgb="FF666666"/>
        <rFont val="맑은 고딕"/>
        <family val="0"/>
        <charset val="1"/>
      </rPr>
      <t xml:space="preserve">= </t>
    </r>
    <r>
      <rPr>
        <sz val="10"/>
        <color rgb="FF666666"/>
        <rFont val="Noto Sans CJK SC"/>
        <family val="2"/>
      </rPr>
      <t xml:space="preserve">위원 </t>
    </r>
    <r>
      <rPr>
        <sz val="10"/>
        <color rgb="FF666666"/>
        <rFont val="맑은 고딕"/>
        <family val="0"/>
        <charset val="1"/>
      </rPr>
      <t xml:space="preserve">1</t>
    </r>
    <r>
      <rPr>
        <sz val="10"/>
        <color rgb="FF666666"/>
        <rFont val="Noto Sans CJK SC"/>
        <family val="2"/>
      </rPr>
      <t xml:space="preserve">명</t>
    </r>
    <r>
      <rPr>
        <sz val="10"/>
        <color rgb="FF666666"/>
        <rFont val="맑은 고딕"/>
        <family val="0"/>
        <charset val="1"/>
      </rPr>
      <t xml:space="preserve">. </t>
    </r>
    <r>
      <rPr>
        <sz val="10"/>
        <color rgb="FF666666"/>
        <rFont val="Noto Sans CJK SC"/>
        <family val="2"/>
      </rPr>
      <t xml:space="preserve">비고가 같은 줄이 이어지면 화면에서 자동으로 칸이 합쳐집니다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</si>
  <si>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소속</t>
  </si>
  <si>
    <t xml:space="preserve">한창희</t>
  </si>
  <si>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남원 대표이사</t>
    </r>
  </si>
  <si>
    <t xml:space="preserve">운영위원장</t>
  </si>
  <si>
    <t xml:space="preserve">김정희</t>
  </si>
  <si>
    <r>
      <rPr>
        <sz val="10"/>
        <rFont val="Noto Sans CJK SC"/>
        <family val="2"/>
      </rPr>
      <t xml:space="preserve">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원주시의회 시의원</t>
    </r>
  </si>
  <si>
    <t xml:space="preserve">부위원장</t>
  </si>
  <si>
    <t xml:space="preserve">밥상공동체복지재단 대표</t>
  </si>
  <si>
    <t xml:space="preserve">위원</t>
  </si>
  <si>
    <t xml:space="preserve">이강모</t>
  </si>
  <si>
    <t xml:space="preserve">원주시 시정자문위원장</t>
  </si>
  <si>
    <t xml:space="preserve">오원택</t>
  </si>
  <si>
    <r>
      <rPr>
        <sz val="10"/>
        <rFont val="Noto Sans CJK SC"/>
        <family val="2"/>
      </rPr>
      <t xml:space="preserve">태장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동 지역사회보장협의체 위원장</t>
    </r>
  </si>
  <si>
    <t xml:space="preserve">이성녀</t>
  </si>
  <si>
    <t xml:space="preserve">한국여성경제인협회강원지회 부회장</t>
  </si>
  <si>
    <t xml:space="preserve">이희숙</t>
  </si>
  <si>
    <t xml:space="preserve">북원노인종합복지관 회원</t>
  </si>
  <si>
    <t xml:space="preserve">백승희</t>
  </si>
  <si>
    <r>
      <rPr>
        <sz val="10"/>
        <rFont val="Noto Sans CJK SC"/>
        <family val="2"/>
      </rPr>
      <t xml:space="preserve">태장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동 행정복지센터 동장</t>
    </r>
  </si>
  <si>
    <t xml:space="preserve">남진우</t>
  </si>
  <si>
    <t xml:space="preserve">원주시 경로복지과 팀장</t>
  </si>
  <si>
    <t xml:space="preserve">북원노인종합복지관 관장</t>
  </si>
  <si>
    <t xml:space="preserve">북원노인종합복지관 과장</t>
  </si>
  <si>
    <t xml:space="preserve">간사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</si>
</sst>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1"/>
      <name val="Noto Sans CJK SC"/>
      <family val="2"/>
    </font>
    <font>
      <sz val="11"/>
      <name val="맑은 고딕"/>
      <family val="0"/>
      <charset val="1"/>
    </font>
    <font>
      <b val="true"/>
      <sz val="11"/>
      <name val="Noto Sans CJK SC"/>
      <family val="2"/>
    </font>
    <font>
      <b val="true"/>
      <sz val="11"/>
      <name val="맑은 고딕"/>
      <family val="0"/>
      <charset val="1"/>
    </font>
    <font>
      <b val="true"/>
      <sz val="14"/>
      <name val="Noto Sans CJK SC"/>
      <family val="2"/>
    </font>
    <font>
      <sz val="10"/>
      <color rgb="FF666666"/>
      <name val="Noto Sans CJK SC"/>
      <family val="2"/>
    </font>
    <font>
      <sz val="10"/>
      <color rgb="FF666666"/>
      <name val="맑은 고딕"/>
      <family val="0"/>
      <charset val="1"/>
    </font>
    <font>
      <b val="true"/>
      <sz val="11"/>
      <color rgb="FFFFFFFF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b val="true"/>
      <sz val="14"/>
      <name val="맑은 고딕"/>
      <family val="0"/>
      <charset val="1"/>
    </font>
    <font>
      <b val="true"/>
      <sz val="11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맑은 고딕"/>
      <family val="0"/>
      <charset val="1"/>
    </font>
    <font>
      <sz val="9"/>
      <color rgb="FF666666"/>
      <name val="Noto Sans CJK SC"/>
      <family val="2"/>
    </font>
    <font>
      <sz val="9"/>
      <color rgb="FF666666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38100"/>
        <bgColor rgb="FFFF66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381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</cols>
  <sheetData>
    <row r="1" customFormat="false" ht="20.1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4" t="s">
        <v>10</v>
      </c>
    </row>
    <row r="13" customFormat="false" ht="17.15" hidden="false" customHeight="false" outlineLevel="0" collapsed="false">
      <c r="A13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70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5" t="s">
        <v>12</v>
      </c>
    </row>
    <row r="2" customFormat="false" ht="15" hidden="false" customHeight="false" outlineLevel="0" collapsed="false">
      <c r="A2" s="6" t="s">
        <v>13</v>
      </c>
    </row>
    <row r="4" customFormat="false" ht="21.75" hidden="false" customHeight="true" outlineLevel="0" collapsed="false">
      <c r="A4" s="7" t="s">
        <v>14</v>
      </c>
      <c r="B4" s="7" t="s">
        <v>15</v>
      </c>
      <c r="C4" s="7" t="s">
        <v>16</v>
      </c>
      <c r="D4" s="7" t="s">
        <v>17</v>
      </c>
      <c r="E4" s="7" t="s">
        <v>18</v>
      </c>
      <c r="F4" s="7" t="s">
        <v>19</v>
      </c>
      <c r="G4" s="7" t="s">
        <v>20</v>
      </c>
    </row>
    <row r="5" customFormat="false" ht="15" hidden="false" customHeight="false" outlineLevel="0" collapsed="false">
      <c r="A5" s="8" t="s">
        <v>21</v>
      </c>
      <c r="B5" s="9" t="s">
        <v>22</v>
      </c>
      <c r="C5" s="9" t="s">
        <v>23</v>
      </c>
      <c r="D5" s="9" t="s">
        <v>24</v>
      </c>
      <c r="E5" s="9" t="s">
        <v>24</v>
      </c>
      <c r="F5" s="10" t="s">
        <v>25</v>
      </c>
      <c r="G5" s="10"/>
    </row>
    <row r="6" customFormat="false" ht="15" hidden="false" customHeight="false" outlineLevel="0" collapsed="false">
      <c r="A6" s="8" t="s">
        <v>21</v>
      </c>
      <c r="B6" s="9" t="s">
        <v>26</v>
      </c>
      <c r="C6" s="9" t="s">
        <v>27</v>
      </c>
      <c r="D6" s="9" t="s">
        <v>28</v>
      </c>
      <c r="E6" s="9" t="s">
        <v>28</v>
      </c>
      <c r="F6" s="10" t="s">
        <v>29</v>
      </c>
      <c r="G6" s="10"/>
    </row>
    <row r="7" customFormat="false" ht="15" hidden="false" customHeight="false" outlineLevel="0" collapsed="false">
      <c r="A7" s="8" t="s">
        <v>21</v>
      </c>
      <c r="B7" s="9" t="s">
        <v>26</v>
      </c>
      <c r="C7" s="9" t="s">
        <v>30</v>
      </c>
      <c r="D7" s="9" t="s">
        <v>31</v>
      </c>
      <c r="E7" s="9" t="s">
        <v>31</v>
      </c>
      <c r="F7" s="10" t="s">
        <v>32</v>
      </c>
      <c r="G7" s="10"/>
    </row>
    <row r="8" customFormat="false" ht="15" hidden="false" customHeight="false" outlineLevel="0" collapsed="false">
      <c r="A8" s="8" t="s">
        <v>21</v>
      </c>
      <c r="B8" s="9" t="s">
        <v>33</v>
      </c>
      <c r="C8" s="9" t="s">
        <v>34</v>
      </c>
      <c r="D8" s="9" t="s">
        <v>35</v>
      </c>
      <c r="E8" s="9" t="s">
        <v>36</v>
      </c>
      <c r="F8" s="10" t="s">
        <v>37</v>
      </c>
      <c r="G8" s="10"/>
    </row>
    <row r="9" customFormat="false" ht="15" hidden="false" customHeight="false" outlineLevel="0" collapsed="false">
      <c r="A9" s="8" t="s">
        <v>21</v>
      </c>
      <c r="B9" s="9" t="s">
        <v>33</v>
      </c>
      <c r="C9" s="9" t="s">
        <v>38</v>
      </c>
      <c r="D9" s="9" t="s">
        <v>39</v>
      </c>
      <c r="E9" s="9" t="s">
        <v>39</v>
      </c>
      <c r="F9" s="10" t="s">
        <v>40</v>
      </c>
      <c r="G9" s="10"/>
    </row>
    <row r="10" customFormat="false" ht="15" hidden="false" customHeight="false" outlineLevel="0" collapsed="false">
      <c r="A10" s="8" t="s">
        <v>21</v>
      </c>
      <c r="B10" s="9" t="s">
        <v>33</v>
      </c>
      <c r="C10" s="9" t="s">
        <v>41</v>
      </c>
      <c r="D10" s="9" t="s">
        <v>42</v>
      </c>
      <c r="E10" s="9" t="s">
        <v>42</v>
      </c>
      <c r="F10" s="10" t="s">
        <v>43</v>
      </c>
      <c r="G10" s="10"/>
    </row>
    <row r="11" customFormat="false" ht="15" hidden="false" customHeight="false" outlineLevel="0" collapsed="false">
      <c r="A11" s="8" t="s">
        <v>21</v>
      </c>
      <c r="B11" s="9" t="s">
        <v>44</v>
      </c>
      <c r="C11" s="9" t="s">
        <v>45</v>
      </c>
      <c r="D11" s="9" t="s">
        <v>36</v>
      </c>
      <c r="E11" s="9" t="s">
        <v>36</v>
      </c>
      <c r="F11" s="10" t="s">
        <v>46</v>
      </c>
      <c r="G11" s="10"/>
    </row>
    <row r="12" customFormat="false" ht="15" hidden="false" customHeight="false" outlineLevel="0" collapsed="false">
      <c r="A12" s="8" t="s">
        <v>21</v>
      </c>
      <c r="B12" s="9" t="s">
        <v>44</v>
      </c>
      <c r="C12" s="9" t="s">
        <v>47</v>
      </c>
      <c r="D12" s="9" t="s">
        <v>48</v>
      </c>
      <c r="E12" s="9" t="s">
        <v>48</v>
      </c>
      <c r="F12" s="10" t="s">
        <v>49</v>
      </c>
      <c r="G12" s="10"/>
    </row>
    <row r="13" customFormat="false" ht="15" hidden="false" customHeight="false" outlineLevel="0" collapsed="false">
      <c r="A13" s="8" t="s">
        <v>21</v>
      </c>
      <c r="B13" s="9" t="s">
        <v>50</v>
      </c>
      <c r="C13" s="9" t="s">
        <v>51</v>
      </c>
      <c r="D13" s="9" t="s">
        <v>36</v>
      </c>
      <c r="E13" s="9" t="s">
        <v>36</v>
      </c>
      <c r="F13" s="10" t="s">
        <v>52</v>
      </c>
      <c r="G13" s="10"/>
    </row>
    <row r="14" customFormat="false" ht="15" hidden="false" customHeight="false" outlineLevel="0" collapsed="false">
      <c r="A14" s="8" t="s">
        <v>21</v>
      </c>
      <c r="B14" s="9" t="s">
        <v>50</v>
      </c>
      <c r="C14" s="9" t="s">
        <v>53</v>
      </c>
      <c r="D14" s="9" t="s">
        <v>54</v>
      </c>
      <c r="E14" s="9" t="s">
        <v>55</v>
      </c>
      <c r="F14" s="10" t="s">
        <v>56</v>
      </c>
      <c r="G14" s="10"/>
    </row>
    <row r="15" customFormat="false" ht="15" hidden="false" customHeight="false" outlineLevel="0" collapsed="false">
      <c r="A15" s="8" t="s">
        <v>21</v>
      </c>
      <c r="B15" s="9" t="s">
        <v>50</v>
      </c>
      <c r="C15" s="9" t="s">
        <v>57</v>
      </c>
      <c r="D15" s="9" t="s">
        <v>54</v>
      </c>
      <c r="E15" s="9" t="s">
        <v>55</v>
      </c>
      <c r="F15" s="10" t="s">
        <v>58</v>
      </c>
      <c r="G15" s="10"/>
    </row>
    <row r="16" customFormat="false" ht="15" hidden="false" customHeight="false" outlineLevel="0" collapsed="false">
      <c r="A16" s="8" t="s">
        <v>21</v>
      </c>
      <c r="B16" s="9" t="s">
        <v>50</v>
      </c>
      <c r="C16" s="9" t="s">
        <v>59</v>
      </c>
      <c r="D16" s="9" t="s">
        <v>54</v>
      </c>
      <c r="E16" s="9" t="s">
        <v>55</v>
      </c>
      <c r="F16" s="10" t="s">
        <v>58</v>
      </c>
      <c r="G16" s="10"/>
    </row>
    <row r="17" customFormat="false" ht="15" hidden="false" customHeight="false" outlineLevel="0" collapsed="false">
      <c r="A17" s="8" t="s">
        <v>21</v>
      </c>
      <c r="B17" s="9" t="s">
        <v>50</v>
      </c>
      <c r="C17" s="9" t="s">
        <v>60</v>
      </c>
      <c r="D17" s="9" t="s">
        <v>54</v>
      </c>
      <c r="E17" s="9" t="s">
        <v>55</v>
      </c>
      <c r="F17" s="10" t="s">
        <v>61</v>
      </c>
      <c r="G17" s="10"/>
    </row>
    <row r="18" customFormat="false" ht="15" hidden="false" customHeight="false" outlineLevel="0" collapsed="false">
      <c r="A18" s="8" t="s">
        <v>21</v>
      </c>
      <c r="B18" s="9" t="s">
        <v>62</v>
      </c>
      <c r="C18" s="9" t="s">
        <v>63</v>
      </c>
      <c r="D18" s="9" t="s">
        <v>36</v>
      </c>
      <c r="E18" s="9" t="s">
        <v>36</v>
      </c>
      <c r="F18" s="10" t="s">
        <v>64</v>
      </c>
      <c r="G18" s="10"/>
    </row>
    <row r="19" customFormat="false" ht="15" hidden="false" customHeight="false" outlineLevel="0" collapsed="false">
      <c r="A19" s="8" t="s">
        <v>21</v>
      </c>
      <c r="B19" s="9" t="s">
        <v>62</v>
      </c>
      <c r="C19" s="9" t="s">
        <v>65</v>
      </c>
      <c r="D19" s="9" t="s">
        <v>66</v>
      </c>
      <c r="E19" s="9" t="s">
        <v>66</v>
      </c>
      <c r="F19" s="10" t="s">
        <v>67</v>
      </c>
      <c r="G19" s="10"/>
    </row>
    <row r="20" customFormat="false" ht="15" hidden="false" customHeight="false" outlineLevel="0" collapsed="false">
      <c r="A20" s="8" t="s">
        <v>21</v>
      </c>
      <c r="B20" s="9" t="s">
        <v>62</v>
      </c>
      <c r="C20" s="9" t="s">
        <v>68</v>
      </c>
      <c r="D20" s="9" t="s">
        <v>66</v>
      </c>
      <c r="E20" s="9" t="s">
        <v>66</v>
      </c>
      <c r="F20" s="10" t="s">
        <v>69</v>
      </c>
      <c r="G20" s="10"/>
    </row>
    <row r="21" customFormat="false" ht="15" hidden="false" customHeight="false" outlineLevel="0" collapsed="false">
      <c r="A21" s="8" t="s">
        <v>21</v>
      </c>
      <c r="B21" s="9" t="s">
        <v>62</v>
      </c>
      <c r="C21" s="9" t="s">
        <v>70</v>
      </c>
      <c r="D21" s="9" t="s">
        <v>66</v>
      </c>
      <c r="E21" s="9" t="s">
        <v>66</v>
      </c>
      <c r="F21" s="10" t="s">
        <v>71</v>
      </c>
      <c r="G21" s="10"/>
    </row>
    <row r="22" customFormat="false" ht="15" hidden="false" customHeight="false" outlineLevel="0" collapsed="false">
      <c r="A22" s="8" t="s">
        <v>21</v>
      </c>
      <c r="B22" s="9" t="s">
        <v>72</v>
      </c>
      <c r="C22" s="9" t="s">
        <v>73</v>
      </c>
      <c r="D22" s="9" t="s">
        <v>74</v>
      </c>
      <c r="E22" s="9" t="s">
        <v>74</v>
      </c>
      <c r="F22" s="10" t="s">
        <v>75</v>
      </c>
      <c r="G22" s="10"/>
    </row>
    <row r="23" customFormat="false" ht="15" hidden="false" customHeight="false" outlineLevel="0" collapsed="false">
      <c r="A23" s="8" t="s">
        <v>21</v>
      </c>
      <c r="B23" s="9" t="s">
        <v>72</v>
      </c>
      <c r="C23" s="9" t="s">
        <v>76</v>
      </c>
      <c r="D23" s="9" t="s">
        <v>77</v>
      </c>
      <c r="E23" s="9" t="s">
        <v>77</v>
      </c>
      <c r="F23" s="10" t="s">
        <v>78</v>
      </c>
      <c r="G23" s="10"/>
    </row>
    <row r="24" customFormat="false" ht="15" hidden="false" customHeight="false" outlineLevel="0" collapsed="false">
      <c r="A24" s="8" t="s">
        <v>21</v>
      </c>
      <c r="B24" s="9" t="s">
        <v>72</v>
      </c>
      <c r="C24" s="9" t="s">
        <v>79</v>
      </c>
      <c r="D24" s="9" t="s">
        <v>77</v>
      </c>
      <c r="E24" s="9" t="s">
        <v>77</v>
      </c>
      <c r="F24" s="10" t="s">
        <v>78</v>
      </c>
      <c r="G24" s="10"/>
    </row>
    <row r="25" customFormat="false" ht="15" hidden="false" customHeight="false" outlineLevel="0" collapsed="false">
      <c r="A25" s="8" t="s">
        <v>21</v>
      </c>
      <c r="B25" s="9" t="s">
        <v>80</v>
      </c>
      <c r="C25" s="9" t="s">
        <v>81</v>
      </c>
      <c r="D25" s="9" t="s">
        <v>82</v>
      </c>
      <c r="E25" s="9" t="s">
        <v>66</v>
      </c>
      <c r="F25" s="10" t="s">
        <v>83</v>
      </c>
      <c r="G25" s="10" t="s">
        <v>84</v>
      </c>
    </row>
    <row r="26" customFormat="false" ht="15" hidden="false" customHeight="false" outlineLevel="0" collapsed="false">
      <c r="A26" s="8" t="s">
        <v>21</v>
      </c>
      <c r="B26" s="9" t="s">
        <v>80</v>
      </c>
      <c r="C26" s="9" t="s">
        <v>85</v>
      </c>
      <c r="D26" s="9" t="s">
        <v>86</v>
      </c>
      <c r="E26" s="9" t="s">
        <v>86</v>
      </c>
      <c r="F26" s="10" t="s">
        <v>87</v>
      </c>
      <c r="G26" s="10"/>
    </row>
    <row r="27" customFormat="false" ht="15" hidden="false" customHeight="false" outlineLevel="0" collapsed="false">
      <c r="A27" s="8" t="s">
        <v>21</v>
      </c>
      <c r="B27" s="9" t="s">
        <v>80</v>
      </c>
      <c r="C27" s="9" t="s">
        <v>88</v>
      </c>
      <c r="D27" s="9" t="s">
        <v>86</v>
      </c>
      <c r="E27" s="9" t="s">
        <v>86</v>
      </c>
      <c r="F27" s="10" t="s">
        <v>87</v>
      </c>
      <c r="G27" s="10"/>
    </row>
    <row r="28" customFormat="false" ht="15" hidden="false" customHeight="false" outlineLevel="0" collapsed="false">
      <c r="A28" s="8" t="s">
        <v>21</v>
      </c>
      <c r="B28" s="9" t="s">
        <v>80</v>
      </c>
      <c r="C28" s="9" t="s">
        <v>89</v>
      </c>
      <c r="D28" s="9" t="s">
        <v>86</v>
      </c>
      <c r="E28" s="9" t="s">
        <v>86</v>
      </c>
      <c r="F28" s="10" t="s">
        <v>87</v>
      </c>
      <c r="G28" s="10"/>
    </row>
    <row r="29" customFormat="false" ht="15" hidden="false" customHeight="false" outlineLevel="0" collapsed="false">
      <c r="A29" s="8" t="s">
        <v>21</v>
      </c>
      <c r="B29" s="9" t="s">
        <v>80</v>
      </c>
      <c r="C29" s="9" t="s">
        <v>90</v>
      </c>
      <c r="D29" s="9" t="s">
        <v>86</v>
      </c>
      <c r="E29" s="9" t="s">
        <v>86</v>
      </c>
      <c r="F29" s="10" t="s">
        <v>87</v>
      </c>
      <c r="G29" s="10"/>
    </row>
    <row r="30" customFormat="false" ht="15" hidden="false" customHeight="false" outlineLevel="0" collapsed="false">
      <c r="A30" s="8" t="s">
        <v>21</v>
      </c>
      <c r="B30" s="9" t="s">
        <v>80</v>
      </c>
      <c r="C30" s="9" t="s">
        <v>91</v>
      </c>
      <c r="D30" s="9" t="s">
        <v>86</v>
      </c>
      <c r="E30" s="9" t="s">
        <v>86</v>
      </c>
      <c r="F30" s="10" t="s">
        <v>87</v>
      </c>
      <c r="G30" s="10"/>
    </row>
  </sheetData>
  <dataValidations count="2">
    <dataValidation allowBlank="true" errorStyle="stop" operator="between" showDropDown="false" showErrorMessage="false" showInputMessage="false" sqref="A5:A200" type="list">
      <formula1>"O,X"</formula1>
      <formula2>0</formula2>
    </dataValidation>
    <dataValidation allowBlank="true" errorStyle="stop" operator="between" showDropDown="false" showErrorMessage="false" showInputMessage="false" sqref="E5:E200" type="list">
      <formula1>인원현황!$A$5:$A$40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4" style="0" width="14"/>
    <col collapsed="false" customWidth="true" hidden="false" outlineLevel="0" max="5" min="5" style="0" width="18"/>
  </cols>
  <sheetData>
    <row r="1" customFormat="false" ht="21.6" hidden="false" customHeight="false" outlineLevel="0" collapsed="false">
      <c r="A1" s="5" t="s">
        <v>92</v>
      </c>
    </row>
    <row r="2" customFormat="false" ht="15" hidden="false" customHeight="false" outlineLevel="0" collapsed="false">
      <c r="A2" s="6" t="s">
        <v>93</v>
      </c>
    </row>
    <row r="4" customFormat="false" ht="21.75" hidden="false" customHeight="true" outlineLevel="0" collapsed="false">
      <c r="A4" s="7" t="s">
        <v>18</v>
      </c>
      <c r="B4" s="7" t="s">
        <v>94</v>
      </c>
    </row>
    <row r="5" customFormat="false" ht="15" hidden="false" customHeight="false" outlineLevel="0" collapsed="false">
      <c r="A5" s="9" t="s">
        <v>24</v>
      </c>
      <c r="B5" s="11" t="n">
        <f aca="false">COUNTIFS(직원!$E$5:$E$300,A5,직원!$A$5:$A$300,"O")</f>
        <v>1</v>
      </c>
      <c r="D5" s="12" t="s">
        <v>95</v>
      </c>
      <c r="E5" s="12" t="n">
        <f aca="false">SUM(B5:B40)</f>
        <v>26</v>
      </c>
    </row>
    <row r="6" customFormat="false" ht="15" hidden="false" customHeight="false" outlineLevel="0" collapsed="false">
      <c r="A6" s="9" t="s">
        <v>28</v>
      </c>
      <c r="B6" s="11" t="n">
        <f aca="false">COUNTIFS(직원!$E$5:$E$300,A6,직원!$A$5:$A$300,"O")</f>
        <v>1</v>
      </c>
      <c r="D6" s="12" t="s">
        <v>96</v>
      </c>
      <c r="E6" s="12" t="n">
        <f aca="false">COUNTIF(직원!$A$5:$A$300,"O")</f>
        <v>26</v>
      </c>
    </row>
    <row r="7" customFormat="false" ht="15" hidden="false" customHeight="false" outlineLevel="0" collapsed="false">
      <c r="A7" s="9" t="s">
        <v>31</v>
      </c>
      <c r="B7" s="11" t="n">
        <f aca="false">COUNTIFS(직원!$E$5:$E$300,A7,직원!$A$5:$A$300,"O")</f>
        <v>1</v>
      </c>
      <c r="D7" s="12" t="s">
        <v>97</v>
      </c>
      <c r="E7" s="12" t="str">
        <f aca="false">IF(E5=E6,"정상","인원구분 확인 필요")</f>
        <v>정상</v>
      </c>
    </row>
    <row r="8" customFormat="false" ht="15" hidden="false" customHeight="false" outlineLevel="0" collapsed="false">
      <c r="A8" s="9" t="s">
        <v>36</v>
      </c>
      <c r="B8" s="11" t="n">
        <f aca="false">COUNTIFS(직원!$E$5:$E$300,A8,직원!$A$5:$A$300,"O")</f>
        <v>4</v>
      </c>
    </row>
    <row r="9" customFormat="false" ht="15" hidden="false" customHeight="false" outlineLevel="0" collapsed="false">
      <c r="A9" s="9" t="s">
        <v>66</v>
      </c>
      <c r="B9" s="11" t="n">
        <f aca="false">COUNTIFS(직원!$E$5:$E$300,A9,직원!$A$5:$A$300,"O")</f>
        <v>4</v>
      </c>
      <c r="D9" s="13" t="s">
        <v>98</v>
      </c>
    </row>
    <row r="10" customFormat="false" ht="15" hidden="false" customHeight="false" outlineLevel="0" collapsed="false">
      <c r="A10" s="9" t="s">
        <v>48</v>
      </c>
      <c r="B10" s="11" t="n">
        <f aca="false">COUNTIFS(직원!$E$5:$E$300,A10,직원!$A$5:$A$300,"O")</f>
        <v>1</v>
      </c>
    </row>
    <row r="11" customFormat="false" ht="15" hidden="false" customHeight="false" outlineLevel="0" collapsed="false">
      <c r="A11" s="9" t="s">
        <v>74</v>
      </c>
      <c r="B11" s="11" t="n">
        <f aca="false">COUNTIFS(직원!$E$5:$E$300,A11,직원!$A$5:$A$300,"O")</f>
        <v>1</v>
      </c>
    </row>
    <row r="12" customFormat="false" ht="15" hidden="false" customHeight="false" outlineLevel="0" collapsed="false">
      <c r="A12" s="9" t="s">
        <v>39</v>
      </c>
      <c r="B12" s="11" t="n">
        <f aca="false">COUNTIFS(직원!$E$5:$E$300,A12,직원!$A$5:$A$300,"O")</f>
        <v>1</v>
      </c>
    </row>
    <row r="13" customFormat="false" ht="15" hidden="false" customHeight="false" outlineLevel="0" collapsed="false">
      <c r="A13" s="9" t="s">
        <v>42</v>
      </c>
      <c r="B13" s="11" t="n">
        <f aca="false">COUNTIFS(직원!$E$5:$E$300,A13,직원!$A$5:$A$300,"O")</f>
        <v>1</v>
      </c>
    </row>
    <row r="14" customFormat="false" ht="15" hidden="false" customHeight="false" outlineLevel="0" collapsed="false">
      <c r="A14" s="9" t="s">
        <v>77</v>
      </c>
      <c r="B14" s="11" t="n">
        <f aca="false">COUNTIFS(직원!$E$5:$E$300,A14,직원!$A$5:$A$300,"O")</f>
        <v>2</v>
      </c>
    </row>
    <row r="15" customFormat="false" ht="15" hidden="false" customHeight="false" outlineLevel="0" collapsed="false">
      <c r="A15" s="9" t="s">
        <v>86</v>
      </c>
      <c r="B15" s="11" t="n">
        <f aca="false">COUNTIFS(직원!$E$5:$E$300,A15,직원!$A$5:$A$300,"O")</f>
        <v>5</v>
      </c>
    </row>
    <row r="16" customFormat="false" ht="15" hidden="false" customHeight="false" outlineLevel="0" collapsed="false">
      <c r="A16" s="9" t="s">
        <v>55</v>
      </c>
      <c r="B16" s="11" t="n">
        <f aca="false">COUNTIFS(직원!$E$5:$E$300,A16,직원!$A$5:$A$300,"O")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5" t="s">
        <v>99</v>
      </c>
    </row>
    <row r="2" customFormat="false" ht="15" hidden="false" customHeight="false" outlineLevel="0" collapsed="false">
      <c r="A2" s="6" t="s">
        <v>100</v>
      </c>
    </row>
    <row r="4" customFormat="false" ht="21.75" hidden="false" customHeight="true" outlineLevel="0" collapsed="false">
      <c r="A4" s="7" t="s">
        <v>14</v>
      </c>
      <c r="B4" s="7" t="s">
        <v>101</v>
      </c>
      <c r="C4" s="7" t="s">
        <v>102</v>
      </c>
      <c r="D4" s="7" t="s">
        <v>103</v>
      </c>
      <c r="E4" s="7" t="s">
        <v>104</v>
      </c>
      <c r="G4" s="14" t="s">
        <v>105</v>
      </c>
    </row>
    <row r="5" customFormat="false" ht="15" hidden="false" customHeight="false" outlineLevel="0" collapsed="false">
      <c r="A5" s="8" t="s">
        <v>21</v>
      </c>
      <c r="B5" s="9" t="s">
        <v>106</v>
      </c>
      <c r="C5" s="9" t="s">
        <v>24</v>
      </c>
      <c r="D5" s="9"/>
      <c r="E5" s="9" t="s">
        <v>107</v>
      </c>
    </row>
    <row r="6" customFormat="false" ht="15" hidden="false" customHeight="false" outlineLevel="0" collapsed="false">
      <c r="A6" s="8" t="s">
        <v>21</v>
      </c>
      <c r="B6" s="9" t="s">
        <v>108</v>
      </c>
      <c r="C6" s="9" t="s">
        <v>28</v>
      </c>
      <c r="D6" s="9"/>
      <c r="E6" s="9"/>
    </row>
    <row r="7" customFormat="false" ht="15" hidden="false" customHeight="false" outlineLevel="0" collapsed="false">
      <c r="A7" s="8" t="s">
        <v>21</v>
      </c>
      <c r="B7" s="9" t="s">
        <v>108</v>
      </c>
      <c r="C7" s="9" t="s">
        <v>31</v>
      </c>
      <c r="D7" s="9"/>
      <c r="E7" s="9"/>
    </row>
    <row r="8" customFormat="false" ht="15" hidden="false" customHeight="false" outlineLevel="0" collapsed="false">
      <c r="A8" s="8" t="s">
        <v>21</v>
      </c>
      <c r="B8" s="9" t="s">
        <v>109</v>
      </c>
      <c r="C8" s="9" t="s">
        <v>110</v>
      </c>
      <c r="D8" s="9"/>
      <c r="E8" s="9"/>
    </row>
    <row r="9" customFormat="false" ht="15" hidden="false" customHeight="false" outlineLevel="0" collapsed="false">
      <c r="A9" s="8" t="s">
        <v>21</v>
      </c>
      <c r="B9" s="9" t="s">
        <v>109</v>
      </c>
      <c r="C9" s="9" t="s">
        <v>111</v>
      </c>
      <c r="D9" s="9"/>
      <c r="E9" s="9"/>
    </row>
    <row r="10" customFormat="false" ht="15" hidden="false" customHeight="false" outlineLevel="0" collapsed="false">
      <c r="A10" s="8" t="s">
        <v>21</v>
      </c>
      <c r="B10" s="9" t="s">
        <v>109</v>
      </c>
      <c r="C10" s="9" t="s">
        <v>112</v>
      </c>
      <c r="D10" s="9"/>
      <c r="E10" s="9"/>
    </row>
    <row r="11" customFormat="false" ht="15" hidden="false" customHeight="false" outlineLevel="0" collapsed="false">
      <c r="A11" s="8" t="s">
        <v>21</v>
      </c>
      <c r="B11" s="9" t="s">
        <v>113</v>
      </c>
      <c r="C11" s="9" t="s">
        <v>114</v>
      </c>
      <c r="D11" s="9"/>
      <c r="E11" s="9"/>
    </row>
    <row r="12" customFormat="false" ht="15" hidden="false" customHeight="false" outlineLevel="0" collapsed="false">
      <c r="A12" s="8" t="s">
        <v>21</v>
      </c>
      <c r="B12" s="9" t="s">
        <v>113</v>
      </c>
      <c r="C12" s="9" t="s">
        <v>115</v>
      </c>
      <c r="D12" s="9"/>
      <c r="E12" s="9"/>
    </row>
    <row r="13" customFormat="false" ht="15" hidden="false" customHeight="false" outlineLevel="0" collapsed="false">
      <c r="A13" s="8" t="s">
        <v>21</v>
      </c>
      <c r="B13" s="9" t="s">
        <v>113</v>
      </c>
      <c r="C13" s="9" t="s">
        <v>116</v>
      </c>
      <c r="D13" s="9"/>
      <c r="E13" s="9"/>
    </row>
    <row r="14" customFormat="false" ht="15" hidden="false" customHeight="false" outlineLevel="0" collapsed="false">
      <c r="A14" s="8" t="s">
        <v>21</v>
      </c>
      <c r="B14" s="9" t="s">
        <v>15</v>
      </c>
      <c r="C14" s="9" t="s">
        <v>33</v>
      </c>
      <c r="D14" s="9"/>
      <c r="E14" s="9" t="s">
        <v>117</v>
      </c>
    </row>
    <row r="15" customFormat="false" ht="15" hidden="false" customHeight="false" outlineLevel="0" collapsed="false">
      <c r="A15" s="8" t="s">
        <v>21</v>
      </c>
      <c r="B15" s="9" t="s">
        <v>15</v>
      </c>
      <c r="C15" s="9" t="s">
        <v>33</v>
      </c>
      <c r="D15" s="9"/>
      <c r="E15" s="9" t="s">
        <v>118</v>
      </c>
    </row>
    <row r="16" customFormat="false" ht="15" hidden="false" customHeight="false" outlineLevel="0" collapsed="false">
      <c r="A16" s="8" t="s">
        <v>21</v>
      </c>
      <c r="B16" s="9" t="s">
        <v>15</v>
      </c>
      <c r="C16" s="9" t="s">
        <v>33</v>
      </c>
      <c r="D16" s="9"/>
      <c r="E16" s="9" t="s">
        <v>119</v>
      </c>
    </row>
    <row r="17" customFormat="false" ht="15" hidden="false" customHeight="false" outlineLevel="0" collapsed="false">
      <c r="A17" s="8" t="s">
        <v>21</v>
      </c>
      <c r="B17" s="9" t="s">
        <v>15</v>
      </c>
      <c r="C17" s="9" t="s">
        <v>33</v>
      </c>
      <c r="D17" s="9"/>
      <c r="E17" s="9" t="s">
        <v>120</v>
      </c>
    </row>
    <row r="18" customFormat="false" ht="15" hidden="false" customHeight="false" outlineLevel="0" collapsed="false">
      <c r="A18" s="8" t="s">
        <v>21</v>
      </c>
      <c r="B18" s="9" t="s">
        <v>15</v>
      </c>
      <c r="C18" s="9" t="s">
        <v>33</v>
      </c>
      <c r="D18" s="9"/>
      <c r="E18" s="9" t="s">
        <v>121</v>
      </c>
    </row>
    <row r="19" customFormat="false" ht="15" hidden="false" customHeight="false" outlineLevel="0" collapsed="false">
      <c r="A19" s="8" t="s">
        <v>21</v>
      </c>
      <c r="B19" s="9" t="s">
        <v>15</v>
      </c>
      <c r="C19" s="9" t="s">
        <v>44</v>
      </c>
      <c r="D19" s="9"/>
      <c r="E19" s="9" t="s">
        <v>122</v>
      </c>
    </row>
    <row r="20" customFormat="false" ht="15" hidden="false" customHeight="false" outlineLevel="0" collapsed="false">
      <c r="A20" s="8" t="s">
        <v>21</v>
      </c>
      <c r="B20" s="9" t="s">
        <v>15</v>
      </c>
      <c r="C20" s="9" t="s">
        <v>44</v>
      </c>
      <c r="D20" s="9"/>
      <c r="E20" s="9" t="s">
        <v>123</v>
      </c>
    </row>
    <row r="21" customFormat="false" ht="15" hidden="false" customHeight="false" outlineLevel="0" collapsed="false">
      <c r="A21" s="8" t="s">
        <v>21</v>
      </c>
      <c r="B21" s="9" t="s">
        <v>15</v>
      </c>
      <c r="C21" s="9" t="s">
        <v>44</v>
      </c>
      <c r="D21" s="9" t="s">
        <v>124</v>
      </c>
      <c r="E21" s="9" t="s">
        <v>125</v>
      </c>
    </row>
    <row r="22" customFormat="false" ht="15" hidden="false" customHeight="false" outlineLevel="0" collapsed="false">
      <c r="A22" s="8" t="s">
        <v>21</v>
      </c>
      <c r="B22" s="9" t="s">
        <v>15</v>
      </c>
      <c r="C22" s="9" t="s">
        <v>44</v>
      </c>
      <c r="D22" s="9" t="s">
        <v>126</v>
      </c>
      <c r="E22" s="9" t="s">
        <v>80</v>
      </c>
    </row>
    <row r="23" customFormat="false" ht="15" hidden="false" customHeight="false" outlineLevel="0" collapsed="false">
      <c r="A23" s="8" t="s">
        <v>21</v>
      </c>
      <c r="B23" s="9" t="s">
        <v>15</v>
      </c>
      <c r="C23" s="9" t="s">
        <v>62</v>
      </c>
      <c r="D23" s="9"/>
      <c r="E23" s="9" t="s">
        <v>127</v>
      </c>
    </row>
    <row r="24" customFormat="false" ht="15" hidden="false" customHeight="false" outlineLevel="0" collapsed="false">
      <c r="A24" s="8" t="s">
        <v>21</v>
      </c>
      <c r="B24" s="9" t="s">
        <v>15</v>
      </c>
      <c r="C24" s="9" t="s">
        <v>62</v>
      </c>
      <c r="D24" s="9"/>
      <c r="E24" s="9" t="s">
        <v>128</v>
      </c>
    </row>
    <row r="25" customFormat="false" ht="15" hidden="false" customHeight="false" outlineLevel="0" collapsed="false">
      <c r="A25" s="8" t="s">
        <v>21</v>
      </c>
      <c r="B25" s="9" t="s">
        <v>15</v>
      </c>
      <c r="C25" s="9" t="s">
        <v>62</v>
      </c>
      <c r="D25" s="9"/>
      <c r="E25" s="9" t="s">
        <v>129</v>
      </c>
    </row>
    <row r="26" customFormat="false" ht="15" hidden="false" customHeight="false" outlineLevel="0" collapsed="false">
      <c r="A26" s="8" t="s">
        <v>21</v>
      </c>
      <c r="B26" s="9" t="s">
        <v>15</v>
      </c>
      <c r="C26" s="9" t="s">
        <v>62</v>
      </c>
      <c r="D26" s="9"/>
      <c r="E26" s="9" t="s">
        <v>130</v>
      </c>
    </row>
    <row r="27" customFormat="false" ht="15" hidden="false" customHeight="false" outlineLevel="0" collapsed="false">
      <c r="A27" s="8" t="s">
        <v>21</v>
      </c>
      <c r="B27" s="9" t="s">
        <v>15</v>
      </c>
      <c r="C27" s="9" t="s">
        <v>62</v>
      </c>
      <c r="D27" s="9"/>
      <c r="E27" s="9" t="s">
        <v>131</v>
      </c>
    </row>
    <row r="28" customFormat="false" ht="15" hidden="false" customHeight="false" outlineLevel="0" collapsed="false">
      <c r="A28" s="8" t="s">
        <v>21</v>
      </c>
      <c r="B28" s="9" t="s">
        <v>15</v>
      </c>
      <c r="C28" s="9" t="s">
        <v>50</v>
      </c>
      <c r="D28" s="9"/>
      <c r="E28" s="9" t="s">
        <v>132</v>
      </c>
    </row>
    <row r="29" customFormat="false" ht="15" hidden="false" customHeight="false" outlineLevel="0" collapsed="false">
      <c r="A29" s="8" t="s">
        <v>21</v>
      </c>
      <c r="B29" s="9" t="s">
        <v>15</v>
      </c>
      <c r="C29" s="9" t="s">
        <v>50</v>
      </c>
      <c r="D29" s="9"/>
      <c r="E29" s="9" t="s">
        <v>133</v>
      </c>
    </row>
    <row r="30" customFormat="false" ht="15" hidden="false" customHeight="false" outlineLevel="0" collapsed="false">
      <c r="A30" s="8" t="s">
        <v>21</v>
      </c>
      <c r="B30" s="9" t="s">
        <v>15</v>
      </c>
      <c r="C30" s="9" t="s">
        <v>50</v>
      </c>
      <c r="D30" s="9" t="s">
        <v>134</v>
      </c>
      <c r="E30" s="9" t="s">
        <v>135</v>
      </c>
    </row>
    <row r="31" customFormat="false" ht="15" hidden="false" customHeight="false" outlineLevel="0" collapsed="false">
      <c r="A31" s="8" t="s">
        <v>21</v>
      </c>
      <c r="B31" s="9" t="s">
        <v>15</v>
      </c>
      <c r="C31" s="9" t="s">
        <v>136</v>
      </c>
      <c r="D31" s="9"/>
      <c r="E31" s="9" t="s">
        <v>137</v>
      </c>
    </row>
    <row r="32" customFormat="false" ht="15" hidden="false" customHeight="false" outlineLevel="0" collapsed="false">
      <c r="A32" s="8" t="s">
        <v>21</v>
      </c>
      <c r="B32" s="9" t="s">
        <v>15</v>
      </c>
      <c r="C32" s="9" t="s">
        <v>136</v>
      </c>
      <c r="D32" s="9"/>
      <c r="E32" s="9" t="s">
        <v>138</v>
      </c>
    </row>
    <row r="33" customFormat="false" ht="15" hidden="false" customHeight="false" outlineLevel="0" collapsed="false">
      <c r="A33" s="8" t="s">
        <v>21</v>
      </c>
      <c r="B33" s="9" t="s">
        <v>15</v>
      </c>
      <c r="C33" s="9" t="s">
        <v>136</v>
      </c>
      <c r="D33" s="9"/>
      <c r="E33" s="9" t="s">
        <v>139</v>
      </c>
    </row>
  </sheetData>
  <dataValidations count="2">
    <dataValidation allowBlank="true" errorStyle="stop" operator="between" showDropDown="false" showErrorMessage="false" showInputMessage="false" sqref="A5:A200" type="list">
      <formula1>"O,X"</formula1>
      <formula2>0</formula2>
    </dataValidation>
    <dataValidation allowBlank="true" errorStyle="stop" operator="between" showDropDown="false" showErrorMessage="false" showInputMessage="false" sqref="B5:B200" type="list">
      <formula1>"상단,관리,왼쪽,오른쪽,팀"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5" t="s">
        <v>140</v>
      </c>
    </row>
    <row r="2" customFormat="false" ht="15" hidden="false" customHeight="false" outlineLevel="0" collapsed="false">
      <c r="A2" s="6" t="s">
        <v>141</v>
      </c>
    </row>
    <row r="4" customFormat="false" ht="21.75" hidden="false" customHeight="true" outlineLevel="0" collapsed="false">
      <c r="A4" s="7" t="s">
        <v>14</v>
      </c>
      <c r="B4" s="7" t="s">
        <v>16</v>
      </c>
      <c r="C4" s="7" t="s">
        <v>142</v>
      </c>
      <c r="D4" s="7" t="s">
        <v>20</v>
      </c>
    </row>
    <row r="5" customFormat="false" ht="15" hidden="false" customHeight="false" outlineLevel="0" collapsed="false">
      <c r="A5" s="8" t="s">
        <v>21</v>
      </c>
      <c r="B5" s="9" t="s">
        <v>143</v>
      </c>
      <c r="C5" s="15" t="s">
        <v>144</v>
      </c>
      <c r="D5" s="9" t="s">
        <v>145</v>
      </c>
    </row>
    <row r="6" customFormat="false" ht="15" hidden="false" customHeight="false" outlineLevel="0" collapsed="false">
      <c r="A6" s="8" t="s">
        <v>21</v>
      </c>
      <c r="B6" s="9" t="s">
        <v>146</v>
      </c>
      <c r="C6" s="10" t="s">
        <v>147</v>
      </c>
      <c r="D6" s="9" t="s">
        <v>148</v>
      </c>
    </row>
    <row r="7" customFormat="false" ht="15" hidden="false" customHeight="false" outlineLevel="0" collapsed="false">
      <c r="A7" s="8" t="s">
        <v>21</v>
      </c>
      <c r="B7" s="9" t="s">
        <v>23</v>
      </c>
      <c r="C7" s="10" t="s">
        <v>149</v>
      </c>
      <c r="D7" s="9" t="s">
        <v>150</v>
      </c>
    </row>
    <row r="8" customFormat="false" ht="15" hidden="false" customHeight="false" outlineLevel="0" collapsed="false">
      <c r="A8" s="8" t="s">
        <v>21</v>
      </c>
      <c r="B8" s="9" t="s">
        <v>151</v>
      </c>
      <c r="C8" s="10" t="s">
        <v>152</v>
      </c>
      <c r="D8" s="9" t="s">
        <v>150</v>
      </c>
    </row>
    <row r="9" customFormat="false" ht="15" hidden="false" customHeight="false" outlineLevel="0" collapsed="false">
      <c r="A9" s="8" t="s">
        <v>21</v>
      </c>
      <c r="B9" s="9" t="s">
        <v>153</v>
      </c>
      <c r="C9" s="10" t="s">
        <v>154</v>
      </c>
      <c r="D9" s="9" t="s">
        <v>150</v>
      </c>
    </row>
    <row r="10" customFormat="false" ht="15" hidden="false" customHeight="false" outlineLevel="0" collapsed="false">
      <c r="A10" s="8" t="s">
        <v>21</v>
      </c>
      <c r="B10" s="9" t="s">
        <v>155</v>
      </c>
      <c r="C10" s="10" t="s">
        <v>156</v>
      </c>
      <c r="D10" s="9" t="s">
        <v>150</v>
      </c>
    </row>
    <row r="11" customFormat="false" ht="15" hidden="false" customHeight="false" outlineLevel="0" collapsed="false">
      <c r="A11" s="8" t="s">
        <v>21</v>
      </c>
      <c r="B11" s="9" t="s">
        <v>157</v>
      </c>
      <c r="C11" s="10" t="s">
        <v>158</v>
      </c>
      <c r="D11" s="9" t="s">
        <v>150</v>
      </c>
    </row>
    <row r="12" customFormat="false" ht="15" hidden="false" customHeight="false" outlineLevel="0" collapsed="false">
      <c r="A12" s="8" t="s">
        <v>21</v>
      </c>
      <c r="B12" s="9" t="s">
        <v>159</v>
      </c>
      <c r="C12" s="10" t="s">
        <v>160</v>
      </c>
      <c r="D12" s="9" t="s">
        <v>150</v>
      </c>
    </row>
    <row r="13" customFormat="false" ht="15" hidden="false" customHeight="false" outlineLevel="0" collapsed="false">
      <c r="A13" s="8" t="s">
        <v>21</v>
      </c>
      <c r="B13" s="9" t="s">
        <v>161</v>
      </c>
      <c r="C13" s="10" t="s">
        <v>162</v>
      </c>
      <c r="D13" s="9" t="s">
        <v>150</v>
      </c>
    </row>
    <row r="14" customFormat="false" ht="15" hidden="false" customHeight="false" outlineLevel="0" collapsed="false">
      <c r="A14" s="8" t="s">
        <v>21</v>
      </c>
      <c r="B14" s="9" t="s">
        <v>27</v>
      </c>
      <c r="C14" s="10" t="s">
        <v>163</v>
      </c>
      <c r="D14" s="9" t="s">
        <v>150</v>
      </c>
    </row>
    <row r="15" customFormat="false" ht="15" hidden="false" customHeight="false" outlineLevel="0" collapsed="false">
      <c r="A15" s="8" t="s">
        <v>21</v>
      </c>
      <c r="B15" s="9" t="s">
        <v>30</v>
      </c>
      <c r="C15" s="10" t="s">
        <v>164</v>
      </c>
      <c r="D15" s="9" t="s">
        <v>165</v>
      </c>
    </row>
  </sheetData>
  <dataValidations count="1">
    <dataValidation allowBlank="true" errorStyle="stop" operator="between" showDropDown="false" showErrorMessage="false" showInputMessage="false" sqref="A5:A200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2026-10-11T06:50:01Z</dcterms:created>
  <dc:creator>openpyxl</dc:creator>
  <dc:description/>
  <dc:language>en-US</dc:language>
  <cp:lastModifiedBy/>
  <dcterms:modified xsi:type="dcterms:W3CDTF">2026-10-11T06:50:02Z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